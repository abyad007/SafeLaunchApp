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onedrive.aptiv.com/personal/mehdi_labyad_aptiv_com/Documents/Desktop/ID Buzz/Business transfer/BT concept checklist/"/>
    </mc:Choice>
  </mc:AlternateContent>
  <xr:revisionPtr revIDLastSave="0" documentId="8_{1A87DD82-85C6-480C-821E-99A68BF6118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isk assesment" sheetId="5" r:id="rId1"/>
    <sheet name="FLM Outlook" sheetId="7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0">#REF!</definedName>
    <definedName name="\A">#REF!</definedName>
    <definedName name="\B">#REF!</definedName>
    <definedName name="\p">#REF!</definedName>
    <definedName name="\z">#REF!</definedName>
    <definedName name="__123Graph_B" hidden="1">#REF!</definedName>
    <definedName name="__123Graph_D" hidden="1">#REF!</definedName>
    <definedName name="__123Graph_F" hidden="1">#REF!</definedName>
    <definedName name="__123Graph_X" hidden="1">#REF!</definedName>
    <definedName name="_1">#REF!</definedName>
    <definedName name="_1_">'[1]Volume-Sales'!#REF!</definedName>
    <definedName name="_10">#REF!</definedName>
    <definedName name="_11">#REF!</definedName>
    <definedName name="_12">#REF!</definedName>
    <definedName name="_13">#REF!</definedName>
    <definedName name="_14">#REF!</definedName>
    <definedName name="_15">#REF!</definedName>
    <definedName name="_16">#REF!</definedName>
    <definedName name="_17">#REF!</definedName>
    <definedName name="_18">#REF!</definedName>
    <definedName name="_19">#REF!</definedName>
    <definedName name="_2">#REF!</definedName>
    <definedName name="_20">#REF!</definedName>
    <definedName name="_2JET">'[1]Volume-Sales'!#REF!</definedName>
    <definedName name="_3">#REF!</definedName>
    <definedName name="_4">#REF!</definedName>
    <definedName name="_5">#REF!</definedName>
    <definedName name="_6">#REF!</definedName>
    <definedName name="_7">#REF!</definedName>
    <definedName name="_8">#REF!</definedName>
    <definedName name="_9">#REF!</definedName>
    <definedName name="_Fill" hidden="1">#REF!</definedName>
    <definedName name="_GMT2530">#REF!</definedName>
    <definedName name="_GMT3">#REF!</definedName>
    <definedName name="_GMT30">#REF!</definedName>
    <definedName name="_GMT325">#REF!</definedName>
    <definedName name="_GMT330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c1">#REF!</definedName>
    <definedName name="_pc2">#REF!</definedName>
    <definedName name="_Regression_Int" hidden="1">1</definedName>
    <definedName name="_Sort" hidden="1">#REF!</definedName>
    <definedName name="_WKS1">#REF!</definedName>
    <definedName name="_WKS2">#REF!</definedName>
    <definedName name="_WKS3">#REF!</definedName>
    <definedName name="_WKS4">#REF!</definedName>
    <definedName name="_WKS5">#REF!</definedName>
    <definedName name="a">[2]PLASTIC!$C$7:$H$17,[2]PLASTIC!#REF!,[2]PLASTIC!$D$19,[2]PLASTIC!$H$19,[2]PLASTIC!$H$21,[2]PLASTIC!$H$23,[2]PLASTIC!$D$21,[2]PLASTIC!$D$24,[2]PLASTIC!#REF!,[2]PLASTIC!#REF!,[2]PLASTIC!#REF!,[2]PLASTIC!$D$25,[2]PLASTIC!#REF!</definedName>
    <definedName name="A.Minutes">#REF!</definedName>
    <definedName name="A_days">#REF!</definedName>
    <definedName name="A1\">#REF!</definedName>
    <definedName name="Abajo">#REF!</definedName>
    <definedName name="Account_Information">#REF!</definedName>
    <definedName name="Account_Prospect">#REF!</definedName>
    <definedName name="Act_Disp_Cost">#REF!</definedName>
    <definedName name="Act_Ind_Hrs">#REF!</definedName>
    <definedName name="Act_Sal_Hrs">#REF!</definedName>
    <definedName name="Act_Scrap_Cost">#REF!</definedName>
    <definedName name="Act_Travel">#REF!</definedName>
    <definedName name="Additional_PartNumbers">"Check Box 84"</definedName>
    <definedName name="AÑO_MODELO__1999">#REF!</definedName>
    <definedName name="Answer1">[3]Answers!$B$4:$B$6</definedName>
    <definedName name="Answer2">[3]Answers!$D$4:$D$6</definedName>
    <definedName name="answer3">[3]Answers!$F$4:$F$6</definedName>
    <definedName name="Arriba">#REF!</definedName>
    <definedName name="AttendanceForm">#REF!</definedName>
    <definedName name="Base_Coverage">#REF!</definedName>
    <definedName name="BD">[4]PORT1719!$I$69</definedName>
    <definedName name="BEGIN">[5]PORPIL!#REF!</definedName>
    <definedName name="Best_Action_Plan_Needed_Info">#REF!</definedName>
    <definedName name="Best_Action_Plan_What_Who_When">#REF!</definedName>
    <definedName name="BL">#REF!</definedName>
    <definedName name="bob">[0]!bob</definedName>
    <definedName name="BottomRow">#REF!</definedName>
    <definedName name="BS">#REF!</definedName>
    <definedName name="Buying_Influences">#REF!</definedName>
    <definedName name="CAL">[4]PORT1719!$P$23:$IV$2041</definedName>
    <definedName name="CALC">#REF!</definedName>
    <definedName name="CALCULO">#REF!</definedName>
    <definedName name="CapInvestment">#REF!</definedName>
    <definedName name="CARLOS">[0]!CARLOS</definedName>
    <definedName name="Cell_Qty_on_MBC">#REF!</definedName>
    <definedName name="Change_Flag">#REF!</definedName>
    <definedName name="Chart">#REF!</definedName>
    <definedName name="CheckBox14_Click" localSheetId="1">'FLM Outlook'!CheckBox14_Click</definedName>
    <definedName name="CheckBox14_Click" localSheetId="0">'Risk assesment'!CheckBox14_Click</definedName>
    <definedName name="CheckBox14_Click">[0]!CheckBox14_Click</definedName>
    <definedName name="CheckBox15_Click" localSheetId="1">'FLM Outlook'!CheckBox15_Click</definedName>
    <definedName name="CheckBox15_Click" localSheetId="0">'Risk assesment'!CheckBox15_Click</definedName>
    <definedName name="CheckBox15_Click">[0]!CheckBox15_Click</definedName>
    <definedName name="ChgNotice">#REF!</definedName>
    <definedName name="circ1">#REF!</definedName>
    <definedName name="circ2">#REF!</definedName>
    <definedName name="CKT">#REF!</definedName>
    <definedName name="cktruck">#REF!</definedName>
    <definedName name="CLEAR" localSheetId="0">[6]PLASTIC!$C$7:$H$17,[6]PLASTIC!#REF!,[6]PLASTIC!$D$19,[6]PLASTIC!$H$19,[6]PLASTIC!$H$21,[6]PLASTIC!$H$23,[6]PLASTIC!$D$21,[6]PLASTIC!$D$24,[6]PLASTIC!#REF!,[6]PLASTIC!#REF!,[6]PLASTIC!#REF!,[6]PLASTIC!$D$25,[6]PLASTIC!#REF!</definedName>
    <definedName name="CLEAR">[7]PLASTIC!$C$7:$H$17,[7]PLASTIC!#REF!,[7]PLASTIC!$D$19,[7]PLASTIC!$H$19,[7]PLASTIC!$H$21,[7]PLASTIC!$H$23,[7]PLASTIC!$D$21,[7]PLASTIC!$D$24,[7]PLASTIC!#REF!,[7]PLASTIC!#REF!,[7]PLASTIC!#REF!,[7]PLASTIC!$D$25,[7]PLASTIC!#REF!</definedName>
    <definedName name="ClearData">[0]!ClearData</definedName>
    <definedName name="Close_Date">#REF!</definedName>
    <definedName name="CO_Dur">#REF!</definedName>
    <definedName name="CO_Freq">#REF!</definedName>
    <definedName name="CO_Percent">#REF!</definedName>
    <definedName name="CO_Time_per_Cycle">#REF!</definedName>
    <definedName name="COD">#REF!</definedName>
    <definedName name="CODE">#REF!</definedName>
    <definedName name="CODIGO">#REF!</definedName>
    <definedName name="Communication_Notes">#REF!</definedName>
    <definedName name="Completion_Date">#REF!</definedName>
    <definedName name="COMPONENTS_TO_BE_USE">SUM(#REF!)</definedName>
    <definedName name="Cons_Chg_Interv">#REF!</definedName>
    <definedName name="Cons_Dur">#REF!</definedName>
    <definedName name="Cons_Freq">#REF!</definedName>
    <definedName name="Cons_Percent">#REF!</definedName>
    <definedName name="Cons_Time_per_Cycle">#REF!</definedName>
    <definedName name="ContextID">#REF!</definedName>
    <definedName name="cop_cost" localSheetId="0">#REF!</definedName>
    <definedName name="cop_cost">#REF!</definedName>
    <definedName name="copper_adj" localSheetId="0">#REF!</definedName>
    <definedName name="copper_adj">#REF!</definedName>
    <definedName name="copper_brass" localSheetId="0">#REF!</definedName>
    <definedName name="copper_brass">#REF!</definedName>
    <definedName name="CopperCostedAt" localSheetId="0">#REF!</definedName>
    <definedName name="CopperCostedAt">#REF!</definedName>
    <definedName name="Cost_per_Machine">#REF!</definedName>
    <definedName name="counter2" localSheetId="0">#REF!</definedName>
    <definedName name="counter2">#REF!</definedName>
    <definedName name="counter3" localSheetId="0">#REF!</definedName>
    <definedName name="counter3">#REF!</definedName>
    <definedName name="Cum_FTQ_Loss">#REF!</definedName>
    <definedName name="Current_Position">#REF!</definedName>
    <definedName name="customer">#REF!</definedName>
    <definedName name="Cycle_Time">#REF!</definedName>
    <definedName name="DAT">'[8]CTL19-00'!#REF!</definedName>
    <definedName name="DATA">#REF!</definedName>
    <definedName name="data_entry">[0]!data_entry</definedName>
    <definedName name="_xlnm.Database">#REF!</definedName>
    <definedName name="DataLabels">OFFSET('[9]Wiring Level 1 Plan'!$AO$9,1,'[9]Level 2'!$K$27,1,'[9]Level 2'!$K$28)</definedName>
    <definedName name="dates">#REF!</definedName>
    <definedName name="DATOS">#REF!</definedName>
    <definedName name="Day_Week">[10]Takt!#REF!</definedName>
    <definedName name="Decision">#REF!</definedName>
    <definedName name="DeleteRows">[0]!DeleteRows</definedName>
    <definedName name="DeleteTaktLine">[0]!DeleteTaktLine</definedName>
    <definedName name="DEPT" localSheetId="0">[6]PLASTIC!#REF!</definedName>
    <definedName name="DEPT">[7]PLASTIC!#REF!</definedName>
    <definedName name="DESCRIPTION">#REF!</definedName>
    <definedName name="Design_Cycle_Time">#REF!</definedName>
    <definedName name="Design_Cycle_Time_on_MB">#REF!</definedName>
    <definedName name="Design_Thruput_Rate">#REF!</definedName>
    <definedName name="dest" localSheetId="0">#REF!</definedName>
    <definedName name="dest">#REF!</definedName>
    <definedName name="DetailForm">#REF!</definedName>
    <definedName name="dfsd">#REF!</definedName>
    <definedName name="done" localSheetId="1" hidden="1">{#N/A,#N/A,FALSE,"EXIT";#N/A,#N/A,FALSE,"Issue";#N/A,#N/A,FALSE,"Summary";#N/A,#N/A,FALSE,"Detail";#N/A,#N/A,FALSE,"Attendance"}</definedName>
    <definedName name="done" localSheetId="0" hidden="1">{#N/A,#N/A,FALSE,"EXIT";#N/A,#N/A,FALSE,"Issue";#N/A,#N/A,FALSE,"Summary";#N/A,#N/A,FALSE,"Detail";#N/A,#N/A,FALSE,"Attendance"}</definedName>
    <definedName name="done" hidden="1">{#N/A,#N/A,FALSE,"EXIT";#N/A,#N/A,FALSE,"Issue";#N/A,#N/A,FALSE,"Summary";#N/A,#N/A,FALSE,"Detail";#N/A,#N/A,FALSE,"Attendance"}</definedName>
    <definedName name="done1" hidden="1">{#N/A,#N/A,FALSE,"EXIT";#N/A,#N/A,FALSE,"Issue";#N/A,#N/A,FALSE,"Summary";#N/A,#N/A,FALSE,"Detail";#N/A,#N/A,FALSE,"Attendance"}</definedName>
    <definedName name="donne" hidden="1">{#N/A,#N/A,FALSE,"EXIT";#N/A,#N/A,FALSE,"Issue";#N/A,#N/A,FALSE,"Summary";#N/A,#N/A,FALSE,"Detail";#N/A,#N/A,FALSE,"Attendance"}</definedName>
    <definedName name="Downstream_Loss_Contribution">#REF!</definedName>
    <definedName name="DropDown7_Change" localSheetId="1">'FLM Outlook'!DropDown7_Change</definedName>
    <definedName name="DropDown7_Change" localSheetId="0">'Risk assesment'!DropDown7_Change</definedName>
    <definedName name="DropDown7_Change">[0]!DropDown7_Change</definedName>
    <definedName name="dropdown8">[0]!dropdown8</definedName>
    <definedName name="DS_CLTQ">#REF!</definedName>
    <definedName name="Eff_Mach_CT">#REF!</definedName>
    <definedName name="Eff_Mach_CT_Sys">#REF!</definedName>
    <definedName name="Eff_Sys_Thru">#REF!</definedName>
    <definedName name="EMPAQ">[5]PORPIL!#REF!</definedName>
    <definedName name="EndPrintArea" localSheetId="0">#REF!</definedName>
    <definedName name="EndPrintArea">#REF!</definedName>
    <definedName name="EP">[4]PORT1719!#REF!</definedName>
    <definedName name="EPL">[11]PORPIL!#REF!</definedName>
    <definedName name="EPS">#REF!</definedName>
    <definedName name="EraseUserInputLF">[0]!EraseUserInputLF</definedName>
    <definedName name="EraseUserInputSF">[0]!EraseUserInputSF</definedName>
    <definedName name="EST">#REF!</definedName>
    <definedName name="Est_Disp_Cost">#REF!</definedName>
    <definedName name="Est_Ind_Hrs">#REF!</definedName>
    <definedName name="Est_Sal_Hrs">#REF!</definedName>
    <definedName name="Est_Scrap_Cost">#REF!</definedName>
    <definedName name="Est_Travel">#REF!</definedName>
    <definedName name="EuroDollar">6.55957/7.71941</definedName>
    <definedName name="Extra_Action_Plan_What_Who_When">#REF!</definedName>
    <definedName name="Extra_Base_Coverage">#REF!</definedName>
    <definedName name="Extra_Best_Action_Plan_Needed_Info">#REF!</definedName>
    <definedName name="Extra_Information">#REF!</definedName>
    <definedName name="Extra_Possible_Actions">#REF!</definedName>
    <definedName name="Extra_Summary_Strengths">#REF!</definedName>
    <definedName name="Extra_Summary_Warnings">#REF!</definedName>
    <definedName name="Extra_Win_Results">#REF!</definedName>
    <definedName name="Extra_Win_Results_Statement">#REF!</definedName>
    <definedName name="F">#REF!</definedName>
    <definedName name="Feasibility" hidden="1">{#N/A,#N/A,FALSE,"Sheet1"}</definedName>
    <definedName name="FINISHED_GOODS">#REF!</definedName>
    <definedName name="FIXED">#REF!</definedName>
    <definedName name="freight" localSheetId="0">#REF!</definedName>
    <definedName name="freight">#REF!</definedName>
    <definedName name="FTQ_Loss">#REF!</definedName>
    <definedName name="FTQ_per_Cycle">#REF!</definedName>
    <definedName name="FUNCTIONS">#REF!</definedName>
    <definedName name="funnchg" hidden="1">{#N/A,#N/A,FALSE,"Sheet1"}</definedName>
    <definedName name="gfc">[0]!gfc</definedName>
    <definedName name="gfg">[0]!gfg</definedName>
    <definedName name="GMT">#REF!</definedName>
    <definedName name="H">#REF!</definedName>
    <definedName name="HARNESSES_TO_BE_BUILT">SUM(#REF!)</definedName>
    <definedName name="HARNESSES_TO_BE_BUILT_AFTER">#REF!</definedName>
    <definedName name="help" localSheetId="1" hidden="1">{#N/A,#N/A,FALSE,"EXIT";#N/A,#N/A,FALSE,"Issue";#N/A,#N/A,FALSE,"Summary";#N/A,#N/A,FALSE,"Detail";#N/A,#N/A,FALSE,"Attendance"}</definedName>
    <definedName name="help" localSheetId="0" hidden="1">{#N/A,#N/A,FALSE,"EXIT";#N/A,#N/A,FALSE,"Issue";#N/A,#N/A,FALSE,"Summary";#N/A,#N/A,FALSE,"Detail";#N/A,#N/A,FALSE,"Attendance"}</definedName>
    <definedName name="help" hidden="1">{#N/A,#N/A,FALSE,"EXIT";#N/A,#N/A,FALSE,"Issue";#N/A,#N/A,FALSE,"Summary";#N/A,#N/A,FALSE,"Detail";#N/A,#N/A,FALSE,"Attendance"}</definedName>
    <definedName name="HIDE_TASKS">#REF!</definedName>
    <definedName name="HIDE_TASKS_CHECKBOX">"Check Box 28"</definedName>
    <definedName name="HO">[4]PORT1719!#REF!</definedName>
    <definedName name="HOJA">#REF!</definedName>
    <definedName name="hoja2" hidden="1">{#N/A,#N/A,FALSE,"EWO Sheet1";#N/A,#N/A,FALSE,"EWO Sheet2";#N/A,#N/A,FALSE,"Financial Worksheet"}</definedName>
    <definedName name="I">#REF!</definedName>
    <definedName name="Ideal_Customer_Criteria">#REF!</definedName>
    <definedName name="In_Baan">#REF!</definedName>
    <definedName name="InBoundFreight" localSheetId="0">#REF!</definedName>
    <definedName name="InBoundFreight">#REF!</definedName>
    <definedName name="INCL_SUBTASKS_CHECKBOX">"Check Box 24"</definedName>
    <definedName name="INCL_TASKS_CHECKBOX">"Check Box 26"</definedName>
    <definedName name="INCLUDE_SUBTASKS">#REF!</definedName>
    <definedName name="INCLUDE_TASKS">#REF!</definedName>
    <definedName name="InhouseCopCostTotalUnit" localSheetId="0">#REF!</definedName>
    <definedName name="InhouseCopCostTotalUnit">#REF!</definedName>
    <definedName name="InhouseCopperAdj" localSheetId="0">#REF!</definedName>
    <definedName name="InhouseCopperAdj">#REF!</definedName>
    <definedName name="InhouseCopperAdjRate" localSheetId="0">#REF!</definedName>
    <definedName name="InhouseCopperAdjRate">#REF!</definedName>
    <definedName name="InhouseCopperInBrass" localSheetId="0">#REF!</definedName>
    <definedName name="InhouseCopperInBrass">#REF!</definedName>
    <definedName name="InhouseCopperInBrassRate" localSheetId="0">#REF!</definedName>
    <definedName name="InhouseCopperInBrassRate">#REF!</definedName>
    <definedName name="InhouseMtlAdj" localSheetId="0">#REF!</definedName>
    <definedName name="InhouseMtlAdj">#REF!</definedName>
    <definedName name="InhouseMtlAdjRate" localSheetId="0">#REF!</definedName>
    <definedName name="InhouseMtlAdjRate">#REF!</definedName>
    <definedName name="InhouseTotal100Ass" localSheetId="0">#REF!</definedName>
    <definedName name="InhouseTotal100Ass">#REF!</definedName>
    <definedName name="INI">#REF!</definedName>
    <definedName name="INICIO">[5]PORPIL!#REF!</definedName>
    <definedName name="InsertRows">[0]!InsertRows</definedName>
    <definedName name="InsertTaktLineSF">[0]!InsertTaktLineSF</definedName>
    <definedName name="inv">#REF!</definedName>
    <definedName name="IssueAction">#REF!</definedName>
    <definedName name="IssueClosedDate">#REF!</definedName>
    <definedName name="IssueCode">#REF!</definedName>
    <definedName name="IssueData">#REF!</definedName>
    <definedName name="IssueDescription">#REF!</definedName>
    <definedName name="IssueForm">#REF!</definedName>
    <definedName name="IssueIssue">#REF!</definedName>
    <definedName name="IssueNO">#REF!</definedName>
    <definedName name="IssueOpenDate">#REF!</definedName>
    <definedName name="IssuePerson">#REF!</definedName>
    <definedName name="IssueRisk">#REF!</definedName>
    <definedName name="IssueTargetDate">#REF!</definedName>
    <definedName name="J">#REF!</definedName>
    <definedName name="JETSET">#REF!</definedName>
    <definedName name="joe" hidden="1">{"EXPORT",#N/A,FALSE,"A8CONTENT"}</definedName>
    <definedName name="K">[11]PORPIL!#REF!</definedName>
    <definedName name="L">[11]PORPIL!#REF!</definedName>
    <definedName name="Labor_rate">9.6379</definedName>
    <definedName name="LeadTime">[0]!LeadTime</definedName>
    <definedName name="loc_table" localSheetId="0">#REF!</definedName>
    <definedName name="loc_table">#REF!</definedName>
    <definedName name="M">[11]PORPIL!#REF!</definedName>
    <definedName name="M.Y.">#REF!</definedName>
    <definedName name="MA">#REF!</definedName>
    <definedName name="Mach_DT_per_Cycle">#REF!</definedName>
    <definedName name="Mach_Qty">#REF!</definedName>
    <definedName name="Machine_CT">#REF!</definedName>
    <definedName name="Machine_DT">#REF!</definedName>
    <definedName name="Machine_Name">#REF!</definedName>
    <definedName name="MAS">[4]PORT1719!$F$6:$I$33</definedName>
    <definedName name="MaterialEnd" localSheetId="0">#REF!</definedName>
    <definedName name="MaterialEnd">#REF!</definedName>
    <definedName name="MaterialStart" localSheetId="0">#REF!</definedName>
    <definedName name="MaterialStart">#REF!</definedName>
    <definedName name="MAX">#REF!</definedName>
    <definedName name="MB_Chart">#REF!</definedName>
    <definedName name="MB_Data_Input">#REF!</definedName>
    <definedName name="MB_Takt_DCT_Table">#REF!</definedName>
    <definedName name="MinutesPerDay">#REF!</definedName>
    <definedName name="Module_Takt_Time">[12]Takt!#REF!</definedName>
    <definedName name="NO">{#N/A,#N/A,FALSE,"EXIT";#N/A,#N/A,FALSE,"Issues";#N/A,#N/A,FALSE,"Summary";#N/A,#N/A,FALSE,"Detail";#N/A,#N/A,FALSE,"Attendance"}</definedName>
    <definedName name="OIcell">#REF!</definedName>
    <definedName name="ok">[0]!ok</definedName>
    <definedName name="OMM">[0]!OMM</definedName>
    <definedName name="Op_L_Un">#REF!</definedName>
    <definedName name="Op_Name">#REF!</definedName>
    <definedName name="OpelDatei">[13]Makro1!#REF!</definedName>
    <definedName name="Operating_CT">#REF!</definedName>
    <definedName name="Ops_per_Day">#REF!</definedName>
    <definedName name="P">#REF!</definedName>
    <definedName name="P.Minutes">#REF!</definedName>
    <definedName name="pack_cost" localSheetId="0">#REF!</definedName>
    <definedName name="pack_cost">#REF!</definedName>
    <definedName name="PACKAGE">[5]PORPIL!#REF!</definedName>
    <definedName name="Packaging" localSheetId="0">#REF!</definedName>
    <definedName name="Packaging">#REF!</definedName>
    <definedName name="PAGE">[11]PORPIL!#REF!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KETE">[11]PORPIL!#REF!</definedName>
    <definedName name="PaperSize85">#REF!</definedName>
    <definedName name="PaperSizeA4">#REF!</definedName>
    <definedName name="PAQ">#REF!</definedName>
    <definedName name="PAQU">#REF!</definedName>
    <definedName name="PAQUETE">#REF!</definedName>
    <definedName name="Pcs_per_Cycle">#REF!</definedName>
    <definedName name="Pcs_per_Op_Cycle">#REF!</definedName>
    <definedName name="PDP" localSheetId="0">[14]PDP!$A$4:$F$84</definedName>
    <definedName name="PDP">[15]PDP!$A$4:$F$84</definedName>
    <definedName name="PE">#REF!</definedName>
    <definedName name="Person">#REF!</definedName>
    <definedName name="PFP">[0]!PFP</definedName>
    <definedName name="pl">#REF!</definedName>
    <definedName name="PlaceHolder" localSheetId="0">#REF!</definedName>
    <definedName name="PlaceHolder">#REF!</definedName>
    <definedName name="PLANOS99">#REF!</definedName>
    <definedName name="PLANT">#REF!</definedName>
    <definedName name="PLP">[0]!PLP</definedName>
    <definedName name="PN_2_PDS">#REF!</definedName>
    <definedName name="PN_2_RPOS">#REF!</definedName>
    <definedName name="PO">[4]PORT1719!$J$6:$J$23</definedName>
    <definedName name="PON">#REF!</definedName>
    <definedName name="POND">#REF!</definedName>
    <definedName name="Possible_Actions">#REF!</definedName>
    <definedName name="PRINT">'[1]Volume-Sales'!#REF!</definedName>
    <definedName name="_xlnm.Print_Area">#REF!</definedName>
    <definedName name="Print_Area_MI">#REF!</definedName>
    <definedName name="Print_Comparatives" xlm="1">#REF!</definedName>
    <definedName name="_xlnm.Print_Titles">#REF!</definedName>
    <definedName name="Print_Titles_MI">#REF!</definedName>
    <definedName name="PRINTOUT" localSheetId="0">[6]PLASTIC!#REF!</definedName>
    <definedName name="PRINTOUT">[7]PLASTIC!#REF!</definedName>
    <definedName name="Probability">#REF!</definedName>
    <definedName name="Program_Risk">#REF!</definedName>
    <definedName name="Project">#REF!</definedName>
    <definedName name="Project_Risk">#REF!</definedName>
    <definedName name="Project_Risk_Cell">#REF!</definedName>
    <definedName name="Project_Risk_Result">#REF!</definedName>
    <definedName name="Punta">#REF!</definedName>
    <definedName name="PURCH">#REF!</definedName>
    <definedName name="PurchCopperAdj" localSheetId="0">#REF!</definedName>
    <definedName name="PurchCopperAdj">#REF!</definedName>
    <definedName name="PurchCopperAdjRate" localSheetId="0">#REF!</definedName>
    <definedName name="PurchCopperAdjRate">#REF!</definedName>
    <definedName name="PurchCopperCostedAtRate" localSheetId="0">#REF!</definedName>
    <definedName name="PurchCopperCostedAtRate">#REF!</definedName>
    <definedName name="PurchCopperInBrass" localSheetId="0">#REF!</definedName>
    <definedName name="PurchCopperInBrass">#REF!</definedName>
    <definedName name="PurchCopperInBrassRate" localSheetId="0">#REF!</definedName>
    <definedName name="PurchCopperInBrassRate">#REF!</definedName>
    <definedName name="PurchMtlAdj" localSheetId="0">#REF!</definedName>
    <definedName name="PurchMtlAdj">#REF!</definedName>
    <definedName name="PurchMtlAdjRate" localSheetId="0">#REF!</definedName>
    <definedName name="PurchMtlAdjRate">#REF!</definedName>
    <definedName name="PurchTotal100Ass" localSheetId="0">#REF!</definedName>
    <definedName name="PurchTotal100Ass">#REF!</definedName>
    <definedName name="q__Drawing_Release">#REF!</definedName>
    <definedName name="RATE">#REF!</definedName>
    <definedName name="rcl">[0]!rcl</definedName>
    <definedName name="Refresh_and_Save" xlm="1">#REF!</definedName>
    <definedName name="Refresh_Save_Print" xlm="1">#REF!</definedName>
    <definedName name="Region">#REF!</definedName>
    <definedName name="rel_eng">[16]Sheet1!#REF!</definedName>
    <definedName name="Remarks">#REF!</definedName>
    <definedName name="Result2Form">#REF!</definedName>
    <definedName name="ResultForm">#REF!</definedName>
    <definedName name="Risk_Database">#REF!</definedName>
    <definedName name="row_hieght">[0]!row_hieght</definedName>
    <definedName name="rpt_cop_cost" localSheetId="0">#REF!</definedName>
    <definedName name="rpt_cop_cost">#REF!</definedName>
    <definedName name="S_NotDone">#REF!</definedName>
    <definedName name="S_Tasks">#REF!</definedName>
    <definedName name="SaveForm">[0]!SaveForm</definedName>
    <definedName name="SHEET">[5]PORPIL!#REF!</definedName>
    <definedName name="SHET">[5]PORPIL!#REF!</definedName>
    <definedName name="SHIP">#REF!</definedName>
    <definedName name="SHOW_NA">#REF!</definedName>
    <definedName name="SHOW_SUBTASKS">#REF!</definedName>
    <definedName name="SHOW_SUBTASKS_CHECKBOX">"Check Box 27"</definedName>
    <definedName name="SHOW_TASKS">#REF!</definedName>
    <definedName name="SHOW_TASKS_CHECKBOX">"Check Box 28"</definedName>
    <definedName name="Single_Sales_Objective">#REF!</definedName>
    <definedName name="skid">[17]Analysis!#REF!</definedName>
    <definedName name="SOWs">#REF!</definedName>
    <definedName name="SOWTask_Code">#REF!</definedName>
    <definedName name="SQA_stuff_Query">#REF!</definedName>
    <definedName name="SRT_per_Day">#REF!</definedName>
    <definedName name="ST">[4]PORT1719!#REF!</definedName>
    <definedName name="STAR">[11]PORPIL!#REF!</definedName>
    <definedName name="START">#REF!</definedName>
    <definedName name="Status_Completion">#REF!</definedName>
    <definedName name="Status_Risk">#REF!</definedName>
    <definedName name="STDR">#REF!</definedName>
    <definedName name="STR">#REF!</definedName>
    <definedName name="STRT">#REF!</definedName>
    <definedName name="SubTask_Count">#REF!</definedName>
    <definedName name="Summary_Strengths">#REF!</definedName>
    <definedName name="Summary_Warnings">#REF!</definedName>
    <definedName name="SummaryForm">#REF!</definedName>
    <definedName name="Sys_Cap_CT">#REF!</definedName>
    <definedName name="System_CT">#REF!</definedName>
    <definedName name="System_Downtime">#REF!</definedName>
    <definedName name="System_Level">#REF!</definedName>
    <definedName name="T">[11]PORPIL!#REF!</definedName>
    <definedName name="T_NotDone">#REF!</definedName>
    <definedName name="T_S_Tasks">#REF!</definedName>
    <definedName name="T_Sows">#REF!</definedName>
    <definedName name="T_Tasks">#REF!</definedName>
    <definedName name="Tabelle1">[18]Tabelle2!#REF!</definedName>
    <definedName name="Tabelle2">[18]Tabelle2!#REF!</definedName>
    <definedName name="Tabelle3">[18]Tabelle2!#REF!</definedName>
    <definedName name="TABLE">#REF!</definedName>
    <definedName name="Takt_Time">#REF!</definedName>
    <definedName name="Takt_Time_on_MB">#REF!</definedName>
    <definedName name="Takt_Time_per_Module">#REF!</definedName>
    <definedName name="Target">#REF!</definedName>
    <definedName name="Task_Count">#REF!</definedName>
    <definedName name="Tasks">#REF!</definedName>
    <definedName name="TeamForm">#REF!</definedName>
    <definedName name="TODO">#REF!</definedName>
    <definedName name="TopRow">#REF!</definedName>
    <definedName name="Total_Equip_Invest">#REF!</definedName>
    <definedName name="Type">#REF!</definedName>
    <definedName name="UPDATE_SCALE">[0]!UPDATE_SCALE</definedName>
    <definedName name="v" localSheetId="1">'FLM Outlook'!v</definedName>
    <definedName name="v" localSheetId="0">'Risk assesment'!v</definedName>
    <definedName name="v">[0]!v</definedName>
    <definedName name="VARI">#REF!</definedName>
    <definedName name="Venture">#REF!</definedName>
    <definedName name="VO">[4]PORT1719!$H$6:$IV$2041</definedName>
    <definedName name="VOL">#REF!</definedName>
    <definedName name="Vol_Achieved">#REF!</definedName>
    <definedName name="VOLU">#REF!</definedName>
    <definedName name="Win_Results_Statement">#REF!</definedName>
    <definedName name="wrn.CAforms." localSheetId="1" hidden="1">{#N/A,#N/A,FALSE,"EXIT";#N/A,#N/A,FALSE,"Issues";#N/A,#N/A,FALSE,"Summary";#N/A,#N/A,FALSE,"Detail";#N/A,#N/A,FALSE,"Team Commit";#N/A,#N/A,FALSE,"Attendance"}</definedName>
    <definedName name="wrn.CAforms." localSheetId="0" hidden="1">{#N/A,#N/A,FALSE,"EXIT";#N/A,#N/A,FALSE,"Issues";#N/A,#N/A,FALSE,"Summary";#N/A,#N/A,FALSE,"Detail";#N/A,#N/A,FALSE,"Team Commit";#N/A,#N/A,FALSE,"Attendance"}</definedName>
    <definedName name="wrn.CAforms." hidden="1">{#N/A,#N/A,FALSE,"EXIT";#N/A,#N/A,FALSE,"Issues";#N/A,#N/A,FALSE,"Summary";#N/A,#N/A,FALSE,"Detail";#N/A,#N/A,FALSE,"Team Commit";#N/A,#N/A,FALSE,"Attendance"}</definedName>
    <definedName name="wrn.CBforms" hidden="1">{#N/A,#N/A,FALSE,"EXIT";#N/A,#N/A,FALSE,"Issue";#N/A,#N/A,FALSE,"Summary";#N/A,#N/A,FALSE,"Detail";#N/A,#N/A,FALSE,"Attendance"}</definedName>
    <definedName name="wrn.CDforms." localSheetId="1" hidden="1">{#N/A,#N/A,FALSE,"EXIT";#N/A,#N/A,FALSE,"Issue";#N/A,#N/A,FALSE,"Summary";#N/A,#N/A,FALSE,"Detail";#N/A,#N/A,FALSE,"Attendance"}</definedName>
    <definedName name="wrn.CDforms." localSheetId="0" hidden="1">{#N/A,#N/A,FALSE,"EXIT";#N/A,#N/A,FALSE,"Issue";#N/A,#N/A,FALSE,"Summary";#N/A,#N/A,FALSE,"Detail";#N/A,#N/A,FALSE,"Attendance"}</definedName>
    <definedName name="wrn.CDforms." hidden="1">{#N/A,#N/A,FALSE,"EXIT";#N/A,#N/A,FALSE,"Issue";#N/A,#N/A,FALSE,"Summary";#N/A,#N/A,FALSE,"Detail";#N/A,#N/A,FALSE,"Attendance"}</definedName>
    <definedName name="wrn.change." hidden="1">{#N/A,#N/A,FALSE,"Sheet1"}</definedName>
    <definedName name="wrn.change_request." hidden="1">{#N/A,#N/A,FALSE,"Sheet1"}</definedName>
    <definedName name="wrn.CIforms." localSheetId="1" hidden="1">{#N/A,#N/A,FALSE,"EXIT";#N/A,#N/A,FALSE,"Issue";#N/A,#N/A,FALSE,"Summary";#N/A,#N/A,FALSE,"Detail";#N/A,#N/A,FALSE,"Attendance"}</definedName>
    <definedName name="wrn.CIforms." localSheetId="0" hidden="1">{#N/A,#N/A,FALSE,"EXIT";#N/A,#N/A,FALSE,"Issue";#N/A,#N/A,FALSE,"Summary";#N/A,#N/A,FALSE,"Detail";#N/A,#N/A,FALSE,"Attendance"}</definedName>
    <definedName name="wrn.CIforms." hidden="1">{#N/A,#N/A,FALSE,"EXIT";#N/A,#N/A,FALSE,"Issue";#N/A,#N/A,FALSE,"Summary";#N/A,#N/A,FALSE,"Detail";#N/A,#N/A,FALSE,"Attendance"}</definedName>
    <definedName name="wrn.DOM." hidden="1">{"DOM",#N/A,FALSE,"A8CONTENT"}</definedName>
    <definedName name="wrn.EWO." hidden="1">{#N/A,#N/A,FALSE,"EWO Sheet1";#N/A,#N/A,FALSE,"EWO Sheet2";#N/A,#N/A,FALSE,"Financial Worksheet"}</definedName>
    <definedName name="wrn.EXPORT." hidden="1">{"EXPORT",#N/A,FALSE,"A8CONTENT"}</definedName>
    <definedName name="wrn.FAforms." localSheetId="1" hidden="1">{#N/A,#N/A,FALSE,"EXIT";#N/A,#N/A,FALSE,"Issues";#N/A,#N/A,FALSE,"Summary";#N/A,#N/A,FALSE,"Detail";#N/A,#N/A,FALSE,"Attendance"}</definedName>
    <definedName name="wrn.FAforms." localSheetId="0" hidden="1">{#N/A,#N/A,FALSE,"EXIT";#N/A,#N/A,FALSE,"Issues";#N/A,#N/A,FALSE,"Summary";#N/A,#N/A,FALSE,"Detail";#N/A,#N/A,FALSE,"Attendance"}</definedName>
    <definedName name="wrn.FAforms." hidden="1">{#N/A,#N/A,FALSE,"EXIT";#N/A,#N/A,FALSE,"Issues";#N/A,#N/A,FALSE,"Summary";#N/A,#N/A,FALSE,"Detail";#N/A,#N/A,FALSE,"Attendance"}</definedName>
    <definedName name="wrn.GJ." hidden="1">{"GJ",#N/A,FALSE,"JOURNAL"}</definedName>
    <definedName name="wrn.PAforms." localSheetId="1" hidden="1">{#N/A,#N/A,FALSE,"EXIT";#N/A,#N/A,FALSE,"Issues";#N/A,#N/A,FALSE,"Summary";#N/A,#N/A,FALSE,"Detail";#N/A,#N/A,FALSE,"Attendance"}</definedName>
    <definedName name="wrn.PAforms." localSheetId="0" hidden="1">{#N/A,#N/A,FALSE,"EXIT";#N/A,#N/A,FALSE,"Issues";#N/A,#N/A,FALSE,"Summary";#N/A,#N/A,FALSE,"Detail";#N/A,#N/A,FALSE,"Attendance"}</definedName>
    <definedName name="wrn.PAforms." hidden="1">{#N/A,#N/A,FALSE,"EXIT";#N/A,#N/A,FALSE,"Issues";#N/A,#N/A,FALSE,"Summary";#N/A,#N/A,FALSE,"Detail";#N/A,#N/A,FALSE,"Attendance"}</definedName>
    <definedName name="xPercent">'[19]Metric A01'!#REF!</definedName>
    <definedName name="xServer_list">[19]Wrksht!#REF!</definedName>
    <definedName name="xServerFunction_list">[19]Wrksht!#REF!</definedName>
    <definedName name="xxxx">[0]!xxxx</definedName>
    <definedName name="Yes_Flag">#REF!</definedName>
    <definedName name="ZETA">[4]PORT1719!#REF!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2" i="5" l="1"/>
  <c r="G52" i="5" s="1"/>
  <c r="E59" i="5"/>
  <c r="G59" i="5" s="1"/>
  <c r="E60" i="5"/>
  <c r="G60" i="5" s="1"/>
  <c r="E58" i="5" l="1"/>
  <c r="G58" i="5" s="1"/>
  <c r="E57" i="5"/>
  <c r="G57" i="5" s="1"/>
  <c r="E56" i="5"/>
  <c r="G56" i="5" s="1"/>
  <c r="D28" i="7"/>
  <c r="D26" i="7"/>
  <c r="D24" i="7"/>
  <c r="D22" i="7"/>
  <c r="D17" i="7"/>
  <c r="D15" i="7"/>
  <c r="D13" i="7"/>
  <c r="D11" i="7"/>
  <c r="D9" i="7"/>
  <c r="E55" i="5"/>
  <c r="G55" i="5" s="1"/>
  <c r="E54" i="5"/>
  <c r="G54" i="5" s="1"/>
  <c r="E53" i="5"/>
  <c r="G53" i="5" s="1"/>
  <c r="E51" i="5"/>
  <c r="G51" i="5" s="1"/>
  <c r="E50" i="5"/>
  <c r="G50" i="5" s="1"/>
  <c r="E48" i="5"/>
  <c r="G48" i="5" s="1"/>
  <c r="E47" i="5"/>
  <c r="G47" i="5" s="1"/>
  <c r="E46" i="5"/>
  <c r="G46" i="5" s="1"/>
  <c r="E45" i="5"/>
  <c r="G45" i="5" s="1"/>
  <c r="E44" i="5"/>
  <c r="G44" i="5" s="1"/>
  <c r="E43" i="5"/>
  <c r="G43" i="5" s="1"/>
  <c r="E42" i="5"/>
  <c r="G42" i="5" s="1"/>
  <c r="E40" i="5"/>
  <c r="G40" i="5" s="1"/>
  <c r="E39" i="5"/>
  <c r="G39" i="5" s="1"/>
  <c r="E38" i="5"/>
  <c r="G38" i="5" s="1"/>
  <c r="E37" i="5"/>
  <c r="G37" i="5" s="1"/>
  <c r="E35" i="5"/>
  <c r="G35" i="5" s="1"/>
  <c r="E34" i="5"/>
  <c r="G34" i="5" s="1"/>
  <c r="E33" i="5"/>
  <c r="G33" i="5" s="1"/>
  <c r="E32" i="5"/>
  <c r="G32" i="5" s="1"/>
  <c r="E30" i="5"/>
  <c r="G30" i="5" s="1"/>
  <c r="E28" i="5"/>
  <c r="G28" i="5" s="1"/>
  <c r="E27" i="5"/>
  <c r="G27" i="5" s="1"/>
  <c r="E26" i="5"/>
  <c r="G26" i="5" s="1"/>
  <c r="E25" i="5"/>
  <c r="G25" i="5" s="1"/>
  <c r="E24" i="5"/>
  <c r="G24" i="5" s="1"/>
  <c r="E22" i="5"/>
  <c r="G22" i="5" s="1"/>
  <c r="E21" i="5"/>
  <c r="G21" i="5" s="1"/>
  <c r="E20" i="5"/>
  <c r="G20" i="5" s="1"/>
  <c r="E19" i="5"/>
  <c r="G19" i="5" s="1"/>
  <c r="G18" i="5"/>
  <c r="E17" i="5"/>
  <c r="G17" i="5" s="1"/>
  <c r="E16" i="5"/>
  <c r="G16" i="5" s="1"/>
  <c r="G15" i="5"/>
  <c r="E14" i="5"/>
  <c r="G14" i="5" s="1"/>
  <c r="E12" i="5"/>
  <c r="G12" i="5" s="1"/>
  <c r="E11" i="5"/>
  <c r="G11" i="5" s="1"/>
  <c r="E10" i="5"/>
  <c r="G10" i="5" s="1"/>
  <c r="E9" i="5"/>
  <c r="G9" i="5" s="1"/>
  <c r="E8" i="5"/>
  <c r="G8" i="5" s="1"/>
  <c r="H13" i="7" l="1"/>
  <c r="I13" i="7" s="1"/>
  <c r="H25" i="7"/>
  <c r="I25" i="7" s="1"/>
  <c r="L19" i="7" l="1"/>
  <c r="H12" i="7"/>
  <c r="H24" i="7"/>
  <c r="L20" i="7"/>
  <c r="L18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I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Shade the selected approach(s)</t>
        </r>
      </text>
    </comment>
    <comment ref="M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Define the trigger which kicks off when the Risk Response Plan should be executed.</t>
        </r>
      </text>
    </comment>
    <comment ref="D5" authorId="0" shapeId="0" xr:uid="{00000000-0006-0000-0100-000003000000}">
      <text>
        <r>
          <rPr>
            <b/>
            <sz val="12"/>
            <color indexed="81"/>
            <rFont val="Tahoma"/>
            <family val="2"/>
          </rPr>
          <t xml:space="preserve">&lt;30%, 30-60%, or &gt;90%
Rate 30% if will not occur
Rate 60% if there is probability to occur a risk
Rate 90% if the risk occurency is certain
</t>
        </r>
      </text>
    </comment>
    <comment ref="E5" authorId="0" shapeId="0" xr:uid="{00000000-0006-0000-0100-000004000000}">
      <text>
        <r>
          <rPr>
            <b/>
            <sz val="12"/>
            <color indexed="81"/>
            <rFont val="Tahoma"/>
            <family val="2"/>
          </rPr>
          <t>THIS COLUMN IS TO PERFORM TAKE COLUMN "F" (Probability) DATA AND CONVERT IT FOR COLUMN "I" (Risk Rating)
&lt;30%, 30-60%, or &gt;90%
Risk have some probability beween 0-100%
* If 100% then this is a current issue/problem, not a future risk.
* If 0% then there is no risk.</t>
        </r>
      </text>
    </comment>
    <comment ref="F5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THE IMPACT IS SCORED BASED ON THE IMPACT IF THE RISK EVENT OCCURS (BECOMES 100% PROBABILITY).  CHOOSE
 ONE OF THE FOLLOWING:
3 = Little Impact and will not reduce Flawless Launch Metrics
6 = Significant Impact but will not reduce Flawless Launch Metrics
9 = Will reduce Flawless Launch Metrics</t>
        </r>
      </text>
    </comment>
    <comment ref="G5" authorId="0" shapeId="0" xr:uid="{00000000-0006-0000-0100-000006000000}">
      <text>
        <r>
          <rPr>
            <b/>
            <sz val="12"/>
            <color indexed="81"/>
            <rFont val="Tahoma"/>
            <family val="2"/>
          </rPr>
          <t>Probability * Impact
Range of rating is rounded to from 1 to 8
See the matrix to the right of this table as a reference.
Teams should use the risk rating as a reference to prioritize risks and work on the ones where the return on effort will be the greatest.</t>
        </r>
      </text>
    </comment>
  </commentList>
</comments>
</file>

<file path=xl/sharedStrings.xml><?xml version="1.0" encoding="utf-8"?>
<sst xmlns="http://schemas.openxmlformats.org/spreadsheetml/2006/main" count="151" uniqueCount="107">
  <si>
    <t>Business Transfer Concept Checklist – Major Criteria to be checked before Business Transfer Decision</t>
  </si>
  <si>
    <t>Overall Risk</t>
  </si>
  <si>
    <t>ADDITIONAL ITEMS CAN BE ADDED BY THE TEAM</t>
  </si>
  <si>
    <t>Risk ID #</t>
  </si>
  <si>
    <t>Risk Management Approach</t>
  </si>
  <si>
    <t>Risk</t>
  </si>
  <si>
    <t>Risk Response Plan</t>
  </si>
  <si>
    <t>Activity #</t>
  </si>
  <si>
    <t>RISK
(A potential future negative risk event)</t>
  </si>
  <si>
    <t>Comments</t>
  </si>
  <si>
    <t>PROBA-BILITY of RISK</t>
  </si>
  <si>
    <t>PROB.</t>
  </si>
  <si>
    <t>IMPACT</t>
  </si>
  <si>
    <t>RISK RATING</t>
  </si>
  <si>
    <t>OWNER</t>
  </si>
  <si>
    <t>Avoid</t>
  </si>
  <si>
    <t>Transfer</t>
  </si>
  <si>
    <t>Mitigate</t>
  </si>
  <si>
    <t>Accept</t>
  </si>
  <si>
    <t>Trigger</t>
  </si>
  <si>
    <t>(Define where the plan is...)
If outlook is yellow or red add action to project issue list</t>
  </si>
  <si>
    <t>Outlook / Risk</t>
  </si>
  <si>
    <t>O</t>
  </si>
  <si>
    <t>On plan.  No issues.</t>
  </si>
  <si>
    <t>1. If the Transfer is a Customer Requirement / Suggestion:</t>
  </si>
  <si>
    <t>Δ</t>
  </si>
  <si>
    <t>Off plan. Action Plans are documented and have progressive goals. Status to plan is tracked regularly. There is high confidence that the final objective will be met.</t>
  </si>
  <si>
    <t>a)</t>
  </si>
  <si>
    <r>
      <t xml:space="preserve">The drivers for doing this move are not clearly understood </t>
    </r>
    <r>
      <rPr>
        <sz val="11"/>
        <color theme="1"/>
        <rFont val="Arial"/>
        <family val="2"/>
      </rPr>
      <t>by all functions</t>
    </r>
  </si>
  <si>
    <t>X</t>
  </si>
  <si>
    <t>Off plan. Do not have necessary documented Action Plans in place to avoid negative impact on FLM.</t>
  </si>
  <si>
    <t>b)</t>
  </si>
  <si>
    <t>The costs related with this transfer will not be shared with Customer</t>
  </si>
  <si>
    <t>DONE</t>
  </si>
  <si>
    <t>c)</t>
  </si>
  <si>
    <t>The proposed transfer has no benefit to Aptiv</t>
  </si>
  <si>
    <t>d)</t>
  </si>
  <si>
    <t>The price negotiation is expected to be unacceptable</t>
  </si>
  <si>
    <t>xxx</t>
  </si>
  <si>
    <t> 2. If the Transfer is a  Aptiv need:</t>
  </si>
  <si>
    <t>The drivers for doing this move are not clearly understood by all functions</t>
  </si>
  <si>
    <t xml:space="preserve">The expected Customer feed back is negative </t>
  </si>
  <si>
    <t>Is expected to have a negative impact in terms of costs</t>
  </si>
  <si>
    <t>Is expected to have a negative impact in terms of quality</t>
  </si>
  <si>
    <t>e)</t>
  </si>
  <si>
    <t>Is expected to have a negative impact in terms of value stream</t>
  </si>
  <si>
    <t>f)</t>
  </si>
  <si>
    <r>
      <t xml:space="preserve">The receiving Plant doesn't exist and </t>
    </r>
    <r>
      <rPr>
        <sz val="11"/>
        <color rgb="FFFF0000"/>
        <rFont val="Arial"/>
        <family val="2"/>
      </rPr>
      <t>/</t>
    </r>
    <r>
      <rPr>
        <sz val="11"/>
        <color theme="1"/>
        <rFont val="Arial"/>
        <family val="2"/>
      </rPr>
      <t xml:space="preserve"> or</t>
    </r>
    <r>
      <rPr>
        <sz val="11"/>
        <rFont val="Arial"/>
        <family val="2"/>
      </rPr>
      <t xml:space="preserve"> has no experience</t>
    </r>
  </si>
  <si>
    <t>g)</t>
  </si>
  <si>
    <t>The Customer is not known at the receiving Plant</t>
  </si>
  <si>
    <t>h)</t>
  </si>
  <si>
    <t xml:space="preserve"> 3. Cost of new value stream versus projected profit:</t>
  </si>
  <si>
    <t>It is necessary to create additional inventory</t>
  </si>
  <si>
    <t>The value stream is new for the new location</t>
  </si>
  <si>
    <t>System requirements / EDI connections are not available at the new location</t>
  </si>
  <si>
    <t>The delivery and invoicing conditions will change</t>
  </si>
  <si>
    <t>The delivery value stream will change (SILS, warehouses, service center)</t>
  </si>
  <si>
    <t>The delivery packaging concept, handling equipment and packaging cycle will change</t>
  </si>
  <si>
    <t>4. Number of design changes that are plan:</t>
  </si>
  <si>
    <t xml:space="preserve">The receiving plant will start production within the current Model Year </t>
  </si>
  <si>
    <t>The customer will not accept to freeze the design until the transfer is completed</t>
  </si>
  <si>
    <t>The transfer cannot be done during Customer stoppage (vacations period)</t>
  </si>
  <si>
    <t xml:space="preserve"> 5. Equipment:</t>
  </si>
  <si>
    <t xml:space="preserve"> The current equipment / tools cannot be transferred (it is necessary to duplicate equipment / tools )</t>
  </si>
  <si>
    <t>It is not feasible to create sufficient stock to give window for transfer</t>
  </si>
  <si>
    <t>In case of equipment duplication needed, the affected cost does not justifies the transfer within the product lifetime</t>
  </si>
  <si>
    <t>There are export licensing restrictions for Machinery and Equipment</t>
  </si>
  <si>
    <t>6 . General Issues:</t>
  </si>
  <si>
    <t>The proposed transfer is coincident with other launches at the receiving plant</t>
  </si>
  <si>
    <t>The proposed transfer time did not consider the calendar differences between Sending /receiving plant and Customers (national holiday, vacation periods)</t>
  </si>
  <si>
    <t>The transfer will have politically impact (i.e. Plant closure,...)</t>
  </si>
  <si>
    <t xml:space="preserve">Program Manager is not available for the transfer </t>
  </si>
  <si>
    <t>The currency is different from the Original Plant?</t>
  </si>
  <si>
    <t>The transfer will have impact in Taxes and Customs</t>
  </si>
  <si>
    <t>8. Receiving Plant:</t>
  </si>
  <si>
    <t>It is not possible to localize material for the receiving Plant (i.e.:cable) or the local supplier is not approved for the OEM (The supplied material to the new location will increase the costs)</t>
  </si>
  <si>
    <r>
      <t xml:space="preserve">The receiving Plant doesn't have sufficient </t>
    </r>
    <r>
      <rPr>
        <strike/>
        <sz val="11"/>
        <color theme="1"/>
        <rFont val="Arial"/>
        <family val="2"/>
      </rPr>
      <t>and skilled</t>
    </r>
    <r>
      <rPr>
        <sz val="11"/>
        <color theme="1"/>
        <rFont val="Arial"/>
        <family val="2"/>
      </rPr>
      <t xml:space="preserve"> resources to launch the project</t>
    </r>
  </si>
  <si>
    <r>
      <t xml:space="preserve">The receiving Plant doesn't have sufficient </t>
    </r>
    <r>
      <rPr>
        <i/>
        <strike/>
        <sz val="11"/>
        <rFont val="Arial"/>
        <family val="2"/>
      </rPr>
      <t>and</t>
    </r>
    <r>
      <rPr>
        <i/>
        <sz val="11"/>
        <rFont val="Arial"/>
        <family val="2"/>
      </rPr>
      <t xml:space="preserve"> skills/mature team to launch the project</t>
    </r>
  </si>
  <si>
    <t>The receiving plant doesn't have sufficient manufacturing floorspace and facility / utility infrastructure to support the project.</t>
  </si>
  <si>
    <t xml:space="preserve">The receiving plant doesn't have sufficient floorspace and infrastructure to support the project in terms of Supermarket and Finish Goods Areas </t>
  </si>
  <si>
    <t xml:space="preserve"> f)</t>
  </si>
  <si>
    <t>The receiving plant doesn't have the environmental, health and safety permits and environmental infrastructure necessary to support the project.</t>
  </si>
  <si>
    <r>
      <t>The manufacturing processes and working practices are not common within</t>
    </r>
    <r>
      <rPr>
        <strike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 xml:space="preserve"> sending and receiving plant</t>
    </r>
  </si>
  <si>
    <t>The process will not be the same as the one in the original  Plant</t>
  </si>
  <si>
    <t>i)</t>
  </si>
  <si>
    <t>Material Specs are not known at the receiving plant i.e. wire (JIS, SAE &amp; DIN)</t>
  </si>
  <si>
    <t>j)</t>
  </si>
  <si>
    <t>Material Specs (JIS, SAE &amp; DIN) are known at the receiving plant i.e. wire but not approved by the OEM</t>
  </si>
  <si>
    <t xml:space="preserve"> k)</t>
  </si>
  <si>
    <t>Customer requirements are not known by the receiving Plant</t>
  </si>
  <si>
    <t>Green</t>
  </si>
  <si>
    <t>Red</t>
  </si>
  <si>
    <t>FLAWLESS LAUNCH METRICS PREDICTION/OUTLOOK</t>
  </si>
  <si>
    <t>(according to Business Transfer Decision team's judgement)</t>
  </si>
  <si>
    <t>Outlook</t>
  </si>
  <si>
    <t>PPAP</t>
  </si>
  <si>
    <t>run@rate</t>
  </si>
  <si>
    <t>Customer Flawless</t>
  </si>
  <si>
    <t>WFCC</t>
  </si>
  <si>
    <t>SWC</t>
  </si>
  <si>
    <t>Spills and major disruptions</t>
  </si>
  <si>
    <t>Delphi Flawless</t>
  </si>
  <si>
    <t>Financials</t>
  </si>
  <si>
    <t>Internal Flawless</t>
  </si>
  <si>
    <t>FTQ</t>
  </si>
  <si>
    <t>Operational Effectiveness</t>
  </si>
  <si>
    <t>Productivity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</si>
</sst>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%"/>
    <numFmt numFmtId="167" formatCode="00000000"/>
    <numFmt numFmtId="168" formatCode="General;;"/>
    <numFmt numFmtId="169" formatCode=";;"/>
    <numFmt numFmtId="170" formatCode="_(&quot;Cr$&quot;* #,##0_);_(&quot;Cr$&quot;* \(#,##0\);_(&quot;Cr$&quot;* &quot;-&quot;_);_(@_)"/>
    <numFmt numFmtId="171" formatCode="_(&quot;Cr$&quot;* #,##0.00_);_(&quot;Cr$&quot;* \(#,##0.00\);_(&quot;Cr$&quot;* &quot;-&quot;??_);_(@_)"/>
    <numFmt numFmtId="172" formatCode="_ * #,##0_)\ _R_$_ ;_ * \(#,##0\)\ _R_$_ ;_ * &quot;-&quot;_)\ _R_$_ ;_ @_ "/>
    <numFmt numFmtId="173" formatCode="_ * #,##0.00_)\ _R_$_ ;_ * \(#,##0.00\)\ _R_$_ ;_ * &quot;-&quot;??_)\ _R_$_ ;_ @_ "/>
    <numFmt numFmtId="174" formatCode="#,##0.0_);\(#,##0.0\)"/>
    <numFmt numFmtId="175" formatCode="#,##0.0_);[Red]\(#,##0.0\)"/>
    <numFmt numFmtId="176" formatCode="#,##0.000_);\(#,##0.000\)"/>
    <numFmt numFmtId="177" formatCode="&quot;f.&quot;\ #,##0_-;[Red]&quot;f.&quot;\ #,##0\-"/>
    <numFmt numFmtId="178" formatCode="&quot;f.&quot;\ #,##0.00_-;[Red]&quot;f.&quot;\ #,##0.00\-"/>
    <numFmt numFmtId="179" formatCode="#,##0;[Red]#,##0&quot;-&quot;"/>
    <numFmt numFmtId="180" formatCode="0.00_)"/>
    <numFmt numFmtId="181" formatCode="0.00%;[Red]\-0.00%"/>
    <numFmt numFmtId="182" formatCode="mmm\-yy_)"/>
    <numFmt numFmtId="183" formatCode="0.0%;[Red]\-0.0%"/>
    <numFmt numFmtId="184" formatCode="0.0%;\(0.0%\)"/>
    <numFmt numFmtId="185" formatCode="m/d/yy_)"/>
    <numFmt numFmtId="186" formatCode="###0_)"/>
    <numFmt numFmtId="187" formatCode="#,##0.000_);[Red]\(#,##0.000\)"/>
    <numFmt numFmtId="188" formatCode="0.000%"/>
    <numFmt numFmtId="189" formatCode="\t#\,\t#\t#0"/>
    <numFmt numFmtId="190" formatCode="&quot;f.&quot;\ #,##0.00_-;&quot;f.&quot;\ #,##0.00\-"/>
    <numFmt numFmtId="191" formatCode="&quot;\&quot;#,##0;&quot;\&quot;\-#,##0"/>
    <numFmt numFmtId="192" formatCode="_ * #,##0_ ;_ * &quot;\&quot;\-#,##0_ ;_ * &quot;-&quot;_ ;_ @_ "/>
    <numFmt numFmtId="193" formatCode="_ * #,##0.00_ ;_ * &quot;\&quot;\-#,##0.00_ ;_ * &quot;-&quot;??_ ;_ @_ "/>
    <numFmt numFmtId="194" formatCode="&quot;\&quot;#,##0.00\ ;\(&quot;\&quot;#,##0.00\)"/>
    <numFmt numFmtId="195" formatCode="&quot; ￦&quot;#,##0_);&quot;(￦&quot;#,##0\);&quot; ￦&quot;\-_)"/>
  </numFmts>
  <fonts count="66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7"/>
      <name val="Small Fonts"/>
      <family val="2"/>
    </font>
    <font>
      <sz val="12"/>
      <color indexed="9"/>
      <name val="Arial"/>
      <family val="2"/>
    </font>
    <font>
      <b/>
      <sz val="12"/>
      <name val="Tekton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sz val="11"/>
      <name val="ＭＳ Ｐゴシック"/>
      <family val="3"/>
      <charset val="129"/>
    </font>
    <font>
      <sz val="8"/>
      <name val="Arial"/>
      <family val="2"/>
    </font>
    <font>
      <sz val="10"/>
      <color indexed="9"/>
      <name val="Arial"/>
      <family val="2"/>
    </font>
    <font>
      <b/>
      <sz val="14"/>
      <name val="Arial"/>
      <family val="2"/>
    </font>
    <font>
      <sz val="10"/>
      <name val="helv"/>
    </font>
    <font>
      <b/>
      <sz val="14"/>
      <name val="Univers 55"/>
      <family val="2"/>
    </font>
    <font>
      <b/>
      <sz val="12"/>
      <name val="Arial"/>
      <family val="2"/>
    </font>
    <font>
      <b/>
      <sz val="12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1"/>
      <name val="Arial"/>
      <family val="2"/>
    </font>
    <font>
      <sz val="10"/>
      <color indexed="10"/>
      <name val="Arial"/>
      <family val="2"/>
    </font>
    <font>
      <sz val="10"/>
      <color indexed="47"/>
      <name val="Arial"/>
      <family val="2"/>
    </font>
    <font>
      <sz val="10"/>
      <name val="Helv"/>
      <family val="2"/>
    </font>
    <font>
      <sz val="9"/>
      <name val="Arial MT"/>
    </font>
    <font>
      <sz val="9"/>
      <name val="Arial MT"/>
      <family val="2"/>
    </font>
    <font>
      <b/>
      <sz val="11"/>
      <name val="Arial"/>
      <family val="2"/>
    </font>
    <font>
      <sz val="12"/>
      <name val="Times New Roman"/>
      <family val="1"/>
    </font>
    <font>
      <b/>
      <sz val="8"/>
      <name val="Arial"/>
      <family val="2"/>
    </font>
    <font>
      <b/>
      <sz val="12"/>
      <color indexed="9"/>
      <name val="Arial"/>
      <family val="2"/>
    </font>
    <font>
      <sz val="12"/>
      <name val="Times New Roman"/>
      <family val="1"/>
    </font>
    <font>
      <b/>
      <sz val="10"/>
      <color indexed="18"/>
      <name val="Arial"/>
      <family val="2"/>
    </font>
    <font>
      <sz val="10"/>
      <name val="Univers (WN)"/>
    </font>
    <font>
      <sz val="8"/>
      <name val="CG Times (E1)"/>
    </font>
    <font>
      <sz val="8"/>
      <name val="Times New Roman"/>
      <family val="1"/>
    </font>
    <font>
      <b/>
      <sz val="12"/>
      <color indexed="8"/>
      <name val="Arial"/>
      <family val="2"/>
    </font>
    <font>
      <shadow/>
      <sz val="8"/>
      <color indexed="12"/>
      <name val="Times New Roman"/>
      <family val="1"/>
    </font>
    <font>
      <sz val="10"/>
      <name val="MS Sans Serif"/>
      <family val="2"/>
    </font>
    <font>
      <sz val="7"/>
      <name val="Small Fonts"/>
      <family val="2"/>
    </font>
    <font>
      <b/>
      <i/>
      <sz val="16"/>
      <name val="Helv"/>
    </font>
    <font>
      <sz val="11"/>
      <name val="Arial"/>
      <family val="2"/>
    </font>
    <font>
      <sz val="8"/>
      <name val="Times New Roman"/>
      <family val="1"/>
    </font>
    <font>
      <sz val="10"/>
      <name val="Univers (E1)"/>
    </font>
    <font>
      <b/>
      <sz val="12"/>
      <name val="Univers (WN)"/>
    </font>
    <font>
      <b/>
      <sz val="10"/>
      <name val="Univers (WN)"/>
    </font>
    <font>
      <b/>
      <sz val="12"/>
      <name val="Univers (WN)"/>
      <family val="2"/>
    </font>
    <font>
      <b/>
      <sz val="14"/>
      <name val="Geneva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1"/>
      <name val="MS Mincho"/>
      <family val="3"/>
      <charset val="128"/>
    </font>
    <font>
      <sz val="11"/>
      <name val="ＭＳ Ｐゴシック"/>
      <charset val="128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Univers 55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trike/>
      <sz val="11"/>
      <color theme="1"/>
      <name val="Arial"/>
      <family val="2"/>
    </font>
    <font>
      <i/>
      <sz val="12"/>
      <color theme="1"/>
      <name val="Arial"/>
      <family val="2"/>
    </font>
    <font>
      <i/>
      <sz val="11"/>
      <name val="Arial"/>
      <family val="2"/>
    </font>
    <font>
      <i/>
      <strike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gray125">
        <fgColor indexed="2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15">
    <xf numFmtId="0" fontId="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6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6" fillId="0" borderId="0"/>
    <xf numFmtId="0" fontId="24" fillId="0" borderId="0"/>
    <xf numFmtId="0" fontId="24" fillId="0" borderId="0"/>
    <xf numFmtId="0" fontId="2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0" borderId="0"/>
    <xf numFmtId="0" fontId="24" fillId="0" borderId="0"/>
    <xf numFmtId="0" fontId="1" fillId="0" borderId="0"/>
    <xf numFmtId="175" fontId="27" fillId="0" borderId="0" applyNumberFormat="0" applyFill="0" applyBorder="0" applyAlignment="0"/>
    <xf numFmtId="0" fontId="28" fillId="2" borderId="1" applyBorder="0">
      <alignment horizontal="centerContinuous"/>
    </xf>
    <xf numFmtId="168" fontId="2" fillId="3" borderId="2">
      <alignment horizontal="center" vertical="center" wrapText="1"/>
    </xf>
    <xf numFmtId="168" fontId="3" fillId="3" borderId="2">
      <alignment horizontal="center" vertical="center" wrapText="1"/>
    </xf>
    <xf numFmtId="0" fontId="29" fillId="0" borderId="3">
      <alignment horizontal="center"/>
    </xf>
    <xf numFmtId="0" fontId="30" fillId="4" borderId="0">
      <alignment horizontal="centerContinuous"/>
    </xf>
    <xf numFmtId="168" fontId="4" fillId="0" borderId="2">
      <alignment horizontal="left" vertical="top" wrapText="1"/>
      <protection locked="0"/>
    </xf>
    <xf numFmtId="168" fontId="5" fillId="0" borderId="2">
      <alignment horizontal="left" vertical="top" wrapText="1"/>
      <protection locked="0"/>
    </xf>
    <xf numFmtId="0" fontId="31" fillId="5" borderId="1" applyBorder="0"/>
    <xf numFmtId="0" fontId="32" fillId="0" borderId="4" applyBorder="0">
      <alignment horizontal="center"/>
      <protection locked="0"/>
    </xf>
    <xf numFmtId="0" fontId="32" fillId="0" borderId="5" applyBorder="0">
      <alignment horizontal="left"/>
      <protection locked="0"/>
    </xf>
    <xf numFmtId="185" fontId="33" fillId="0" borderId="0" applyFont="0" applyFill="0" applyBorder="0" applyAlignment="0" applyProtection="0"/>
    <xf numFmtId="14" fontId="4" fillId="0" borderId="2">
      <alignment horizontal="left" vertical="top" wrapText="1"/>
      <protection locked="0"/>
    </xf>
    <xf numFmtId="168" fontId="6" fillId="0" borderId="0">
      <alignment horizontal="right" vertical="center"/>
    </xf>
    <xf numFmtId="189" fontId="1" fillId="0" borderId="0">
      <protection locked="0"/>
    </xf>
    <xf numFmtId="167" fontId="7" fillId="6" borderId="6">
      <alignment horizontal="right"/>
    </xf>
    <xf numFmtId="174" fontId="34" fillId="0" borderId="0" applyFont="0" applyFill="0" applyBorder="0" applyAlignment="0" applyProtection="0">
      <protection locked="0"/>
    </xf>
    <xf numFmtId="39" fontId="16" fillId="0" borderId="0" applyFont="0" applyFill="0" applyBorder="0" applyAlignment="0" applyProtection="0"/>
    <xf numFmtId="176" fontId="35" fillId="0" borderId="0" applyFont="0" applyFill="0" applyBorder="0" applyAlignment="0"/>
    <xf numFmtId="168" fontId="8" fillId="0" borderId="0">
      <alignment horizontal="right" wrapText="1"/>
      <protection locked="0"/>
    </xf>
    <xf numFmtId="168" fontId="8" fillId="0" borderId="7">
      <alignment horizontal="left" wrapText="1"/>
      <protection locked="0"/>
    </xf>
    <xf numFmtId="168" fontId="8" fillId="0" borderId="8">
      <alignment horizontal="right" wrapText="1"/>
      <protection locked="0"/>
    </xf>
    <xf numFmtId="0" fontId="9" fillId="0" borderId="2" applyNumberFormat="0" applyBorder="0" applyAlignment="0">
      <alignment vertical="center" wrapText="1"/>
    </xf>
    <xf numFmtId="187" fontId="1" fillId="0" borderId="0">
      <protection locked="0"/>
    </xf>
    <xf numFmtId="169" fontId="10" fillId="7" borderId="4">
      <alignment horizontal="left" vertical="center"/>
    </xf>
    <xf numFmtId="169" fontId="10" fillId="7" borderId="4">
      <alignment horizontal="right" vertical="center"/>
    </xf>
    <xf numFmtId="38" fontId="13" fillId="2" borderId="0" applyNumberFormat="0" applyBorder="0" applyAlignment="0" applyProtection="0"/>
    <xf numFmtId="0" fontId="18" fillId="0" borderId="9" applyNumberFormat="0" applyAlignment="0" applyProtection="0">
      <alignment horizontal="left" vertical="center"/>
    </xf>
    <xf numFmtId="0" fontId="18" fillId="0" borderId="10">
      <alignment horizontal="left" vertical="center"/>
    </xf>
    <xf numFmtId="0" fontId="36" fillId="2" borderId="0"/>
    <xf numFmtId="188" fontId="1" fillId="0" borderId="0">
      <protection locked="0"/>
    </xf>
    <xf numFmtId="188" fontId="1" fillId="0" borderId="0">
      <protection locked="0"/>
    </xf>
    <xf numFmtId="166" fontId="37" fillId="0" borderId="11" applyFill="0" applyBorder="0" applyAlignment="0">
      <alignment horizontal="center"/>
      <protection locked="0"/>
    </xf>
    <xf numFmtId="10" fontId="13" fillId="5" borderId="4" applyNumberFormat="0" applyBorder="0" applyAlignment="0" applyProtection="0"/>
    <xf numFmtId="174" fontId="37" fillId="0" borderId="0" applyFill="0" applyBorder="0" applyAlignment="0">
      <protection locked="0"/>
    </xf>
    <xf numFmtId="176" fontId="37" fillId="0" borderId="0" applyFill="0" applyBorder="0" applyAlignment="0" applyProtection="0">
      <protection locked="0"/>
    </xf>
    <xf numFmtId="179" fontId="38" fillId="0" borderId="0" applyFont="0" applyFill="0" applyBorder="0" applyAlignment="0" applyProtection="0"/>
    <xf numFmtId="190" fontId="1" fillId="2" borderId="12">
      <alignment horizontal="left"/>
    </xf>
    <xf numFmtId="0" fontId="31" fillId="8" borderId="0"/>
    <xf numFmtId="170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82" fontId="33" fillId="0" borderId="0" applyFont="0" applyFill="0" applyBorder="0" applyAlignment="0" applyProtection="0"/>
    <xf numFmtId="3" fontId="1" fillId="2" borderId="13" applyNumberFormat="0" applyFont="0" applyBorder="0" applyAlignment="0" applyProtection="0">
      <alignment horizontal="center"/>
    </xf>
    <xf numFmtId="37" fontId="39" fillId="0" borderId="0"/>
    <xf numFmtId="180" fontId="40" fillId="0" borderId="0"/>
    <xf numFmtId="175" fontId="41" fillId="0" borderId="0" applyFill="0" applyBorder="0" applyAlignment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84" fontId="42" fillId="0" borderId="14" applyFont="0" applyFill="0" applyBorder="0" applyAlignment="0" applyProtection="0">
      <alignment horizontal="right"/>
    </xf>
    <xf numFmtId="10" fontId="1" fillId="0" borderId="0" applyFont="0" applyFill="0" applyBorder="0" applyAlignment="0" applyProtection="0"/>
    <xf numFmtId="183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0" fontId="38" fillId="0" borderId="0" applyNumberFormat="0" applyFont="0" applyFill="0" applyBorder="0" applyAlignment="0" applyProtection="0">
      <alignment horizontal="left"/>
    </xf>
    <xf numFmtId="172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0" fontId="38" fillId="0" borderId="0"/>
    <xf numFmtId="0" fontId="16" fillId="0" borderId="0"/>
    <xf numFmtId="165" fontId="1" fillId="0" borderId="0" applyFont="0" applyFill="0" applyBorder="0" applyAlignment="0" applyProtection="0"/>
    <xf numFmtId="0" fontId="11" fillId="2" borderId="2" applyNumberFormat="0" applyBorder="0" applyAlignment="0" applyProtection="0"/>
    <xf numFmtId="38" fontId="44" fillId="0" borderId="0" applyFill="0" applyBorder="0" applyAlignment="0" applyProtection="0"/>
    <xf numFmtId="183" fontId="45" fillId="0" borderId="0" applyFill="0" applyBorder="0" applyAlignment="0" applyProtection="0"/>
    <xf numFmtId="38" fontId="46" fillId="0" borderId="0" applyFill="0" applyBorder="0" applyAlignment="0" applyProtection="0"/>
    <xf numFmtId="18" fontId="34" fillId="0" borderId="0" applyFont="0" applyFill="0" applyBorder="0" applyAlignment="0" applyProtection="0">
      <alignment horizontal="left"/>
    </xf>
    <xf numFmtId="18" fontId="4" fillId="0" borderId="2">
      <alignment horizontal="left" vertical="top" wrapText="1"/>
      <protection locked="0"/>
    </xf>
    <xf numFmtId="0" fontId="47" fillId="0" borderId="0"/>
    <xf numFmtId="10" fontId="43" fillId="0" borderId="15" applyNumberFormat="0" applyFont="0" applyFill="0" applyAlignment="0" applyProtection="0"/>
    <xf numFmtId="177" fontId="38" fillId="0" borderId="0" applyFont="0" applyFill="0" applyBorder="0" applyAlignment="0" applyProtection="0"/>
    <xf numFmtId="178" fontId="38" fillId="0" borderId="0" applyFont="0" applyFill="0" applyBorder="0" applyAlignment="0" applyProtection="0"/>
    <xf numFmtId="186" fontId="11" fillId="0" borderId="10" applyFont="0" applyFill="0" applyBorder="0" applyAlignment="0" applyProtection="0"/>
    <xf numFmtId="2" fontId="48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164" fontId="52" fillId="0" borderId="0" applyFont="0" applyFill="0" applyBorder="0" applyAlignment="0" applyProtection="0"/>
    <xf numFmtId="195" fontId="28" fillId="0" borderId="0" applyFill="0" applyBorder="0" applyProtection="0">
      <alignment horizontal="right"/>
    </xf>
    <xf numFmtId="3" fontId="48" fillId="0" borderId="0" applyFont="0" applyFill="0" applyBorder="0" applyAlignment="0" applyProtection="0"/>
    <xf numFmtId="4" fontId="48" fillId="0" borderId="0" applyFont="0" applyFill="0" applyBorder="0" applyAlignment="0" applyProtection="0"/>
    <xf numFmtId="192" fontId="4" fillId="0" borderId="0" applyFont="0" applyFill="0" applyBorder="0" applyAlignment="0" applyProtection="0"/>
    <xf numFmtId="193" fontId="4" fillId="0" borderId="0" applyFont="0" applyFill="0" applyBorder="0" applyAlignment="0" applyProtection="0"/>
    <xf numFmtId="10" fontId="48" fillId="0" borderId="0" applyFont="0" applyFill="0" applyBorder="0" applyAlignment="0" applyProtection="0"/>
    <xf numFmtId="0" fontId="12" fillId="0" borderId="0"/>
    <xf numFmtId="0" fontId="48" fillId="0" borderId="16" applyNumberFormat="0" applyFont="0" applyFill="0" applyAlignment="0" applyProtection="0"/>
    <xf numFmtId="191" fontId="48" fillId="0" borderId="0" applyFont="0" applyFill="0" applyBorder="0" applyAlignment="0" applyProtection="0"/>
    <xf numFmtId="194" fontId="48" fillId="0" borderId="0" applyFont="0" applyFill="0" applyBorder="0" applyAlignment="0" applyProtection="0"/>
    <xf numFmtId="0" fontId="4" fillId="0" borderId="0"/>
    <xf numFmtId="0" fontId="53" fillId="0" borderId="0">
      <alignment vertical="center"/>
    </xf>
    <xf numFmtId="165" fontId="13" fillId="0" borderId="0" applyFont="0" applyFill="0" applyBorder="0" applyAlignment="0" applyProtection="0"/>
  </cellStyleXfs>
  <cellXfs count="163">
    <xf numFmtId="0" fontId="0" fillId="0" borderId="0" xfId="0"/>
    <xf numFmtId="0" fontId="3" fillId="0" borderId="0" xfId="0" applyFont="1"/>
    <xf numFmtId="0" fontId="0" fillId="9" borderId="17" xfId="0" applyFill="1" applyBorder="1" applyAlignment="1">
      <alignment horizontal="centerContinuous"/>
    </xf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0" xfId="0" applyFill="1" applyBorder="1" applyAlignment="1">
      <alignment horizontal="center"/>
    </xf>
    <xf numFmtId="0" fontId="0" fillId="9" borderId="24" xfId="0" applyFill="1" applyBorder="1"/>
    <xf numFmtId="0" fontId="0" fillId="9" borderId="25" xfId="0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0" fillId="9" borderId="27" xfId="0" applyFill="1" applyBorder="1" applyAlignment="1">
      <alignment horizontal="center" wrapText="1"/>
    </xf>
    <xf numFmtId="0" fontId="0" fillId="9" borderId="28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0" xfId="0" applyFill="1" applyBorder="1"/>
    <xf numFmtId="0" fontId="0" fillId="9" borderId="30" xfId="0" applyFill="1" applyBorder="1" applyAlignment="1">
      <alignment horizontal="center" wrapText="1"/>
    </xf>
    <xf numFmtId="0" fontId="17" fillId="0" borderId="4" xfId="0" applyFont="1" applyBorder="1" applyAlignment="1">
      <alignment horizontal="center"/>
    </xf>
    <xf numFmtId="0" fontId="0" fillId="0" borderId="34" xfId="0" applyBorder="1" applyAlignment="1">
      <alignment horizontal="center" vertical="top" wrapText="1"/>
    </xf>
    <xf numFmtId="0" fontId="0" fillId="0" borderId="34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" xfId="0" applyBorder="1" applyAlignment="1">
      <alignment vertical="top"/>
    </xf>
    <xf numFmtId="0" fontId="0" fillId="4" borderId="35" xfId="0" applyFill="1" applyBorder="1" applyAlignment="1">
      <alignment vertical="top"/>
    </xf>
    <xf numFmtId="0" fontId="0" fillId="0" borderId="34" xfId="0" applyBorder="1" applyAlignment="1">
      <alignment vertical="top" wrapText="1"/>
    </xf>
    <xf numFmtId="0" fontId="0" fillId="0" borderId="36" xfId="0" applyBorder="1" applyAlignment="1">
      <alignment vertical="top" wrapText="1"/>
    </xf>
    <xf numFmtId="0" fontId="17" fillId="0" borderId="35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37" xfId="0" applyBorder="1" applyAlignment="1">
      <alignment horizontal="center" vertical="top" wrapText="1"/>
    </xf>
    <xf numFmtId="0" fontId="0" fillId="0" borderId="37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31" xfId="0" applyBorder="1" applyAlignment="1">
      <alignment vertical="top"/>
    </xf>
    <xf numFmtId="0" fontId="0" fillId="4" borderId="32" xfId="0" applyFill="1" applyBorder="1" applyAlignment="1">
      <alignment vertical="top"/>
    </xf>
    <xf numFmtId="0" fontId="0" fillId="0" borderId="37" xfId="0" applyBorder="1" applyAlignment="1">
      <alignment vertical="top" wrapText="1"/>
    </xf>
    <xf numFmtId="0" fontId="0" fillId="0" borderId="38" xfId="0" applyBorder="1" applyAlignment="1">
      <alignment vertical="top" wrapText="1"/>
    </xf>
    <xf numFmtId="0" fontId="17" fillId="0" borderId="32" xfId="0" applyFont="1" applyBorder="1" applyAlignment="1">
      <alignment horizontal="center" vertical="center"/>
    </xf>
    <xf numFmtId="0" fontId="0" fillId="0" borderId="39" xfId="0" applyBorder="1" applyAlignment="1">
      <alignment vertical="top" wrapText="1"/>
    </xf>
    <xf numFmtId="0" fontId="0" fillId="0" borderId="0" xfId="0" applyAlignment="1">
      <alignment horizontal="center"/>
    </xf>
    <xf numFmtId="0" fontId="14" fillId="0" borderId="0" xfId="0" applyFont="1"/>
    <xf numFmtId="0" fontId="21" fillId="10" borderId="0" xfId="0" applyFont="1" applyFill="1"/>
    <xf numFmtId="0" fontId="22" fillId="11" borderId="0" xfId="0" applyFont="1" applyFill="1"/>
    <xf numFmtId="0" fontId="15" fillId="0" borderId="0" xfId="0" applyFont="1" applyAlignment="1">
      <alignment horizontal="left"/>
    </xf>
    <xf numFmtId="0" fontId="22" fillId="0" borderId="0" xfId="0" applyFont="1"/>
    <xf numFmtId="0" fontId="0" fillId="0" borderId="18" xfId="0" applyBorder="1" applyAlignment="1">
      <alignment horizontal="center"/>
    </xf>
    <xf numFmtId="0" fontId="3" fillId="0" borderId="23" xfId="0" applyFont="1" applyBorder="1"/>
    <xf numFmtId="0" fontId="14" fillId="0" borderId="24" xfId="0" applyFont="1" applyBorder="1"/>
    <xf numFmtId="0" fontId="0" fillId="0" borderId="40" xfId="0" applyBorder="1" applyAlignment="1">
      <alignment horizontal="center"/>
    </xf>
    <xf numFmtId="0" fontId="14" fillId="0" borderId="41" xfId="0" applyFont="1" applyBorder="1"/>
    <xf numFmtId="0" fontId="3" fillId="0" borderId="40" xfId="0" applyFont="1" applyBorder="1" applyAlignment="1">
      <alignment horizontal="center" wrapText="1"/>
    </xf>
    <xf numFmtId="0" fontId="0" fillId="0" borderId="42" xfId="0" applyBorder="1" applyProtection="1">
      <protection locked="0"/>
    </xf>
    <xf numFmtId="0" fontId="3" fillId="0" borderId="40" xfId="0" applyFont="1" applyBorder="1" applyAlignment="1">
      <alignment horizontal="center"/>
    </xf>
    <xf numFmtId="0" fontId="14" fillId="0" borderId="18" xfId="0" applyFont="1" applyBorder="1"/>
    <xf numFmtId="0" fontId="0" fillId="0" borderId="23" xfId="0" applyBorder="1"/>
    <xf numFmtId="0" fontId="14" fillId="0" borderId="40" xfId="0" applyFont="1" applyBorder="1"/>
    <xf numFmtId="0" fontId="0" fillId="0" borderId="20" xfId="0" applyBorder="1"/>
    <xf numFmtId="0" fontId="23" fillId="0" borderId="41" xfId="0" applyFont="1" applyBorder="1"/>
    <xf numFmtId="0" fontId="0" fillId="0" borderId="30" xfId="0" applyBorder="1"/>
    <xf numFmtId="0" fontId="14" fillId="0" borderId="26" xfId="0" applyFont="1" applyBorder="1"/>
    <xf numFmtId="0" fontId="0" fillId="0" borderId="43" xfId="0" applyBorder="1"/>
    <xf numFmtId="0" fontId="14" fillId="0" borderId="44" xfId="0" applyFont="1" applyBorder="1"/>
    <xf numFmtId="0" fontId="0" fillId="0" borderId="24" xfId="0" applyBorder="1"/>
    <xf numFmtId="0" fontId="0" fillId="0" borderId="41" xfId="0" applyBorder="1"/>
    <xf numFmtId="0" fontId="0" fillId="0" borderId="26" xfId="0" applyBorder="1"/>
    <xf numFmtId="0" fontId="3" fillId="0" borderId="0" xfId="0" applyFont="1" applyAlignment="1">
      <alignment horizontal="center" wrapText="1"/>
    </xf>
    <xf numFmtId="0" fontId="3" fillId="0" borderId="18" xfId="0" applyFont="1" applyBorder="1" applyAlignment="1">
      <alignment horizontal="center" wrapText="1"/>
    </xf>
    <xf numFmtId="0" fontId="0" fillId="0" borderId="44" xfId="0" applyBorder="1"/>
    <xf numFmtId="0" fontId="23" fillId="0" borderId="44" xfId="0" applyFont="1" applyBorder="1"/>
    <xf numFmtId="0" fontId="0" fillId="9" borderId="44" xfId="0" applyFill="1" applyBorder="1" applyAlignment="1">
      <alignment vertical="top" wrapText="1"/>
    </xf>
    <xf numFmtId="0" fontId="17" fillId="0" borderId="0" xfId="0" applyFont="1" applyAlignment="1">
      <alignment horizontal="center"/>
    </xf>
    <xf numFmtId="0" fontId="0" fillId="9" borderId="45" xfId="0" applyFill="1" applyBorder="1"/>
    <xf numFmtId="0" fontId="0" fillId="9" borderId="18" xfId="0" applyFill="1" applyBorder="1" applyAlignment="1">
      <alignment wrapText="1"/>
    </xf>
    <xf numFmtId="0" fontId="0" fillId="9" borderId="21" xfId="0" applyFill="1" applyBorder="1"/>
    <xf numFmtId="0" fontId="0" fillId="9" borderId="22" xfId="0" applyFill="1" applyBorder="1"/>
    <xf numFmtId="0" fontId="0" fillId="9" borderId="24" xfId="0" applyFill="1" applyBorder="1" applyAlignment="1">
      <alignment wrapText="1"/>
    </xf>
    <xf numFmtId="0" fontId="41" fillId="0" borderId="46" xfId="0" applyFont="1" applyBorder="1" applyAlignment="1">
      <alignment vertical="top" wrapText="1"/>
    </xf>
    <xf numFmtId="0" fontId="0" fillId="0" borderId="47" xfId="0" applyBorder="1" applyAlignment="1">
      <alignment vertical="top"/>
    </xf>
    <xf numFmtId="0" fontId="0" fillId="0" borderId="48" xfId="0" applyBorder="1" applyAlignment="1">
      <alignment vertical="top"/>
    </xf>
    <xf numFmtId="0" fontId="0" fillId="0" borderId="3" xfId="0" applyBorder="1" applyAlignment="1">
      <alignment vertical="top"/>
    </xf>
    <xf numFmtId="0" fontId="0" fillId="4" borderId="49" xfId="0" applyFill="1" applyBorder="1" applyAlignment="1">
      <alignment vertical="top"/>
    </xf>
    <xf numFmtId="0" fontId="0" fillId="0" borderId="47" xfId="0" applyBorder="1" applyAlignment="1">
      <alignment vertical="top" wrapText="1"/>
    </xf>
    <xf numFmtId="0" fontId="0" fillId="0" borderId="50" xfId="0" applyBorder="1" applyAlignment="1">
      <alignment vertical="top" wrapText="1"/>
    </xf>
    <xf numFmtId="0" fontId="41" fillId="0" borderId="33" xfId="0" applyFont="1" applyBorder="1" applyAlignment="1">
      <alignment horizontal="center"/>
    </xf>
    <xf numFmtId="0" fontId="41" fillId="0" borderId="48" xfId="0" applyFont="1" applyBorder="1" applyAlignment="1">
      <alignment horizontal="center"/>
    </xf>
    <xf numFmtId="0" fontId="41" fillId="0" borderId="37" xfId="0" applyFont="1" applyBorder="1" applyAlignment="1">
      <alignment vertical="top" wrapText="1"/>
    </xf>
    <xf numFmtId="0" fontId="41" fillId="0" borderId="51" xfId="0" applyFont="1" applyBorder="1" applyAlignment="1">
      <alignment horizontal="center"/>
    </xf>
    <xf numFmtId="0" fontId="41" fillId="0" borderId="52" xfId="0" applyFont="1" applyBorder="1" applyAlignment="1">
      <alignment vertical="top" wrapText="1"/>
    </xf>
    <xf numFmtId="0" fontId="0" fillId="0" borderId="53" xfId="0" applyBorder="1" applyAlignment="1">
      <alignment horizontal="center" vertical="top" wrapText="1"/>
    </xf>
    <xf numFmtId="0" fontId="0" fillId="0" borderId="53" xfId="0" applyBorder="1" applyAlignment="1">
      <alignment vertical="top"/>
    </xf>
    <xf numFmtId="0" fontId="0" fillId="0" borderId="51" xfId="0" applyBorder="1" applyAlignment="1">
      <alignment vertical="top"/>
    </xf>
    <xf numFmtId="0" fontId="0" fillId="0" borderId="54" xfId="0" applyBorder="1" applyAlignment="1">
      <alignment vertical="top"/>
    </xf>
    <xf numFmtId="0" fontId="0" fillId="4" borderId="55" xfId="0" applyFill="1" applyBorder="1" applyAlignment="1">
      <alignment vertical="top"/>
    </xf>
    <xf numFmtId="0" fontId="0" fillId="0" borderId="53" xfId="0" applyBorder="1" applyAlignment="1">
      <alignment vertical="top" wrapText="1"/>
    </xf>
    <xf numFmtId="0" fontId="17" fillId="0" borderId="55" xfId="0" applyFont="1" applyBorder="1" applyAlignment="1">
      <alignment horizontal="center" vertical="center"/>
    </xf>
    <xf numFmtId="0" fontId="2" fillId="0" borderId="56" xfId="0" applyFont="1" applyBorder="1" applyAlignment="1">
      <alignment horizontal="left"/>
    </xf>
    <xf numFmtId="0" fontId="0" fillId="0" borderId="9" xfId="0" applyBorder="1" applyAlignment="1">
      <alignment vertical="top" wrapText="1"/>
    </xf>
    <xf numFmtId="0" fontId="0" fillId="0" borderId="9" xfId="0" applyBorder="1" applyAlignment="1">
      <alignment vertical="top"/>
    </xf>
    <xf numFmtId="0" fontId="0" fillId="4" borderId="9" xfId="0" applyFill="1" applyBorder="1" applyAlignment="1">
      <alignment vertical="top"/>
    </xf>
    <xf numFmtId="0" fontId="0" fillId="0" borderId="57" xfId="0" applyBorder="1" applyAlignment="1">
      <alignment vertical="top" wrapText="1"/>
    </xf>
    <xf numFmtId="0" fontId="17" fillId="0" borderId="57" xfId="0" applyFont="1" applyBorder="1" applyAlignment="1">
      <alignment horizontal="center" vertical="center"/>
    </xf>
    <xf numFmtId="0" fontId="41" fillId="0" borderId="0" xfId="0" applyFont="1" applyAlignment="1">
      <alignment vertical="top" wrapText="1"/>
    </xf>
    <xf numFmtId="0" fontId="41" fillId="0" borderId="58" xfId="0" applyFont="1" applyBorder="1" applyAlignment="1">
      <alignment vertical="top" wrapText="1"/>
    </xf>
    <xf numFmtId="0" fontId="41" fillId="0" borderId="59" xfId="0" applyFont="1" applyBorder="1" applyAlignment="1">
      <alignment vertical="top" wrapText="1"/>
    </xf>
    <xf numFmtId="0" fontId="3" fillId="0" borderId="0" xfId="0" applyFont="1" applyAlignment="1">
      <alignment wrapText="1"/>
    </xf>
    <xf numFmtId="0" fontId="41" fillId="0" borderId="34" xfId="0" applyFont="1" applyBorder="1" applyAlignment="1">
      <alignment vertical="top" wrapText="1"/>
    </xf>
    <xf numFmtId="0" fontId="41" fillId="0" borderId="58" xfId="0" applyFont="1" applyBorder="1" applyAlignment="1">
      <alignment horizontal="center"/>
    </xf>
    <xf numFmtId="0" fontId="54" fillId="0" borderId="46" xfId="0" applyFont="1" applyBorder="1" applyAlignment="1">
      <alignment vertical="top" wrapText="1"/>
    </xf>
    <xf numFmtId="0" fontId="55" fillId="0" borderId="33" xfId="0" applyFont="1" applyBorder="1" applyAlignment="1">
      <alignment horizontal="center"/>
    </xf>
    <xf numFmtId="0" fontId="54" fillId="0" borderId="58" xfId="0" applyFont="1" applyBorder="1" applyAlignment="1">
      <alignment vertical="top" wrapText="1"/>
    </xf>
    <xf numFmtId="9" fontId="56" fillId="0" borderId="51" xfId="0" applyNumberFormat="1" applyFont="1" applyBorder="1" applyAlignment="1">
      <alignment horizontal="center" vertical="top"/>
    </xf>
    <xf numFmtId="0" fontId="55" fillId="0" borderId="47" xfId="0" applyFont="1" applyBorder="1" applyAlignment="1">
      <alignment horizontal="center" vertical="top" wrapText="1"/>
    </xf>
    <xf numFmtId="0" fontId="56" fillId="0" borderId="54" xfId="0" applyFont="1" applyBorder="1" applyAlignment="1">
      <alignment horizontal="center" vertical="top"/>
    </xf>
    <xf numFmtId="1" fontId="57" fillId="0" borderId="49" xfId="0" applyNumberFormat="1" applyFont="1" applyBorder="1" applyAlignment="1">
      <alignment horizontal="center" vertical="top"/>
    </xf>
    <xf numFmtId="0" fontId="55" fillId="0" borderId="47" xfId="0" applyFont="1" applyBorder="1" applyAlignment="1">
      <alignment vertical="top"/>
    </xf>
    <xf numFmtId="0" fontId="55" fillId="0" borderId="48" xfId="0" applyFont="1" applyBorder="1" applyAlignment="1">
      <alignment vertical="top"/>
    </xf>
    <xf numFmtId="0" fontId="55" fillId="0" borderId="3" xfId="0" applyFont="1" applyBorder="1" applyAlignment="1">
      <alignment vertical="top"/>
    </xf>
    <xf numFmtId="0" fontId="55" fillId="4" borderId="49" xfId="0" applyFont="1" applyFill="1" applyBorder="1" applyAlignment="1">
      <alignment vertical="top"/>
    </xf>
    <xf numFmtId="0" fontId="55" fillId="0" borderId="47" xfId="0" applyFont="1" applyBorder="1" applyAlignment="1">
      <alignment vertical="top" wrapText="1"/>
    </xf>
    <xf numFmtId="0" fontId="55" fillId="0" borderId="50" xfId="0" applyFont="1" applyBorder="1" applyAlignment="1">
      <alignment vertical="top" wrapText="1"/>
    </xf>
    <xf numFmtId="0" fontId="58" fillId="0" borderId="55" xfId="0" applyFont="1" applyBorder="1" applyAlignment="1">
      <alignment horizontal="center" vertical="center"/>
    </xf>
    <xf numFmtId="0" fontId="55" fillId="0" borderId="0" xfId="0" applyFont="1"/>
    <xf numFmtId="9" fontId="6" fillId="0" borderId="51" xfId="0" applyNumberFormat="1" applyFont="1" applyBorder="1" applyAlignment="1">
      <alignment horizontal="center" vertical="top"/>
    </xf>
    <xf numFmtId="0" fontId="1" fillId="0" borderId="34" xfId="0" applyFont="1" applyBorder="1" applyAlignment="1">
      <alignment horizontal="center" vertical="top" wrapText="1"/>
    </xf>
    <xf numFmtId="0" fontId="6" fillId="0" borderId="54" xfId="0" applyFont="1" applyBorder="1" applyAlignment="1">
      <alignment horizontal="center" vertical="top"/>
    </xf>
    <xf numFmtId="1" fontId="2" fillId="0" borderId="35" xfId="0" applyNumberFormat="1" applyFont="1" applyBorder="1" applyAlignment="1">
      <alignment horizontal="center" vertical="top"/>
    </xf>
    <xf numFmtId="0" fontId="1" fillId="0" borderId="37" xfId="0" applyFont="1" applyBorder="1" applyAlignment="1">
      <alignment vertical="top"/>
    </xf>
    <xf numFmtId="0" fontId="1" fillId="0" borderId="25" xfId="0" applyFont="1" applyBorder="1" applyAlignment="1">
      <alignment vertical="top"/>
    </xf>
    <xf numFmtId="0" fontId="1" fillId="0" borderId="31" xfId="0" applyFont="1" applyBorder="1" applyAlignment="1">
      <alignment vertical="top"/>
    </xf>
    <xf numFmtId="0" fontId="1" fillId="4" borderId="32" xfId="0" applyFont="1" applyFill="1" applyBorder="1" applyAlignment="1">
      <alignment vertical="top"/>
    </xf>
    <xf numFmtId="0" fontId="1" fillId="0" borderId="37" xfId="0" applyFont="1" applyBorder="1" applyAlignment="1">
      <alignment vertical="top" wrapText="1"/>
    </xf>
    <xf numFmtId="0" fontId="1" fillId="0" borderId="38" xfId="0" applyFont="1" applyBorder="1" applyAlignment="1">
      <alignment vertical="top" wrapText="1"/>
    </xf>
    <xf numFmtId="0" fontId="1" fillId="0" borderId="0" xfId="0" applyFont="1"/>
    <xf numFmtId="0" fontId="60" fillId="0" borderId="46" xfId="0" applyFont="1" applyBorder="1" applyAlignment="1">
      <alignment vertical="top" wrapText="1"/>
    </xf>
    <xf numFmtId="0" fontId="61" fillId="0" borderId="56" xfId="0" applyFont="1" applyBorder="1" applyAlignment="1">
      <alignment horizontal="left"/>
    </xf>
    <xf numFmtId="0" fontId="60" fillId="0" borderId="33" xfId="0" applyFont="1" applyBorder="1" applyAlignment="1">
      <alignment horizontal="center"/>
    </xf>
    <xf numFmtId="0" fontId="60" fillId="0" borderId="48" xfId="0" applyFont="1" applyBorder="1" applyAlignment="1">
      <alignment horizontal="center"/>
    </xf>
    <xf numFmtId="0" fontId="59" fillId="0" borderId="33" xfId="0" applyFont="1" applyBorder="1" applyAlignment="1">
      <alignment horizontal="center"/>
    </xf>
    <xf numFmtId="0" fontId="59" fillId="0" borderId="9" xfId="0" applyFont="1" applyBorder="1" applyAlignment="1">
      <alignment vertical="top" wrapText="1"/>
    </xf>
    <xf numFmtId="0" fontId="63" fillId="0" borderId="0" xfId="0" applyFont="1"/>
    <xf numFmtId="0" fontId="64" fillId="0" borderId="46" xfId="0" applyFont="1" applyBorder="1" applyAlignment="1">
      <alignment vertical="top" wrapText="1"/>
    </xf>
    <xf numFmtId="0" fontId="64" fillId="0" borderId="48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5" fillId="9" borderId="18" xfId="0" applyFont="1" applyFill="1" applyBorder="1"/>
    <xf numFmtId="0" fontId="5" fillId="9" borderId="23" xfId="0" applyFont="1" applyFill="1" applyBorder="1"/>
    <xf numFmtId="0" fontId="5" fillId="9" borderId="24" xfId="0" applyFont="1" applyFill="1" applyBorder="1"/>
    <xf numFmtId="0" fontId="1" fillId="9" borderId="26" xfId="0" applyFont="1" applyFill="1" applyBorder="1" applyAlignment="1">
      <alignment horizontal="center" wrapText="1"/>
    </xf>
    <xf numFmtId="0" fontId="1" fillId="9" borderId="27" xfId="0" applyFont="1" applyFill="1" applyBorder="1" applyAlignment="1">
      <alignment horizontal="center" wrapText="1"/>
    </xf>
    <xf numFmtId="0" fontId="1" fillId="9" borderId="29" xfId="0" applyFont="1" applyFill="1" applyBorder="1" applyAlignment="1">
      <alignment horizontal="center" wrapText="1"/>
    </xf>
    <xf numFmtId="0" fontId="5" fillId="9" borderId="25" xfId="0" applyFont="1" applyFill="1" applyBorder="1"/>
    <xf numFmtId="0" fontId="5" fillId="9" borderId="31" xfId="0" applyFont="1" applyFill="1" applyBorder="1"/>
    <xf numFmtId="0" fontId="5" fillId="9" borderId="32" xfId="0" applyFont="1" applyFill="1" applyBorder="1"/>
    <xf numFmtId="0" fontId="1" fillId="0" borderId="9" xfId="0" applyFont="1" applyBorder="1" applyAlignment="1">
      <alignment vertical="top" wrapText="1"/>
    </xf>
    <xf numFmtId="9" fontId="6" fillId="0" borderId="9" xfId="0" applyNumberFormat="1" applyFont="1" applyBorder="1" applyAlignment="1">
      <alignment horizontal="center" vertical="top"/>
    </xf>
    <xf numFmtId="0" fontId="6" fillId="0" borderId="9" xfId="0" applyFont="1" applyBorder="1" applyAlignment="1">
      <alignment horizontal="center" vertical="top"/>
    </xf>
    <xf numFmtId="1" fontId="2" fillId="0" borderId="9" xfId="0" applyNumberFormat="1" applyFont="1" applyBorder="1" applyAlignment="1">
      <alignment horizontal="center" vertical="top"/>
    </xf>
    <xf numFmtId="1" fontId="2" fillId="0" borderId="55" xfId="0" applyNumberFormat="1" applyFont="1" applyBorder="1" applyAlignment="1">
      <alignment horizontal="center" vertical="top"/>
    </xf>
    <xf numFmtId="1" fontId="2" fillId="0" borderId="32" xfId="0" applyNumberFormat="1" applyFont="1" applyBorder="1" applyAlignment="1">
      <alignment horizontal="center" vertical="top"/>
    </xf>
    <xf numFmtId="9" fontId="6" fillId="0" borderId="34" xfId="0" applyNumberFormat="1" applyFont="1" applyBorder="1" applyAlignment="1">
      <alignment horizontal="center" vertical="top"/>
    </xf>
    <xf numFmtId="0" fontId="1" fillId="0" borderId="36" xfId="0" applyFont="1" applyBorder="1" applyAlignment="1">
      <alignment vertical="top" wrapText="1"/>
    </xf>
    <xf numFmtId="0" fontId="3" fillId="12" borderId="11" xfId="0" applyFont="1" applyFill="1" applyBorder="1" applyAlignment="1">
      <alignment horizontal="left" wrapText="1"/>
    </xf>
    <xf numFmtId="0" fontId="3" fillId="12" borderId="0" xfId="0" applyFont="1" applyFill="1" applyAlignment="1">
      <alignment horizontal="left" wrapText="1"/>
    </xf>
    <xf numFmtId="0" fontId="3" fillId="10" borderId="11" xfId="0" applyFont="1" applyFill="1" applyBorder="1" applyAlignment="1">
      <alignment horizontal="left" wrapText="1"/>
    </xf>
    <xf numFmtId="0" fontId="3" fillId="10" borderId="0" xfId="0" applyFont="1" applyFill="1" applyAlignment="1">
      <alignment horizontal="left" wrapText="1"/>
    </xf>
    <xf numFmtId="0" fontId="3" fillId="11" borderId="11" xfId="0" applyFont="1" applyFill="1" applyBorder="1" applyAlignment="1">
      <alignment horizontal="left" wrapText="1"/>
    </xf>
    <xf numFmtId="0" fontId="3" fillId="11" borderId="0" xfId="0" applyFont="1" applyFill="1" applyAlignment="1">
      <alignment horizontal="left" wrapText="1"/>
    </xf>
  </cellXfs>
  <cellStyles count="115">
    <cellStyle name="_x000a_mouse.drv=lm" xfId="1" xr:uid="{00000000-0005-0000-0000-000000000000}"/>
    <cellStyle name="__May 24 grace-Epsilon 353 3rd round PLUS MODEL (2)" xfId="2" xr:uid="{00000000-0005-0000-0000-000001000000}"/>
    <cellStyle name="_AP Cashflow" xfId="3" xr:uid="{00000000-0005-0000-0000-000002000000}"/>
    <cellStyle name="_Global Form - Option Summary Template BETWEEN REGIONS ---" xfId="4" xr:uid="{00000000-0005-0000-0000-000003000000}"/>
    <cellStyle name="_Global Form - Option Summary Template BETWEEN REGIONS --- (3)" xfId="5" xr:uid="{00000000-0005-0000-0000-000004000000}"/>
    <cellStyle name="_grace financials 5-19PRG_May 10_Epsilon 353 1st round" xfId="6" xr:uid="{00000000-0005-0000-0000-000005000000}"/>
    <cellStyle name="_grace financials 5-19PRG_May 10_Epsilon 353 1st round_grace summary-summary5-24-06 full set" xfId="7" xr:uid="{00000000-0005-0000-0000-000006000000}"/>
    <cellStyle name="_JP_Kalk_Prog_Breakdown-WSD7" xfId="8" xr:uid="{00000000-0005-0000-0000-000007000000}"/>
    <cellStyle name="_JP_Kalk_Prog_Breakdown-WSD7_Global Form - Option Summary Template BETWEEN REGIONS ---" xfId="9" xr:uid="{00000000-0005-0000-0000-000008000000}"/>
    <cellStyle name="_JP_Kalk_Prog_Breakdown-WSD7_Global Form - Option Summary Template BETWEEN REGIONS --- (3)" xfId="10" xr:uid="{00000000-0005-0000-0000-000009000000}"/>
    <cellStyle name="_JP_Kalk_Prog_Breakdown-WSD7_grace summary-summary5-24-06 full set" xfId="11" xr:uid="{00000000-0005-0000-0000-00000A000000}"/>
    <cellStyle name="_JP_Kalk_Prog_Breakdown-WSD7_preliminaryCashflow and summary6-10-06 full set" xfId="12" xr:uid="{00000000-0005-0000-0000-00000B000000}"/>
    <cellStyle name="_JP_Kalk_Prog_Breakdown-WSD7_preliminaryCashflow and summary6-21-06 full set (3)" xfId="13" xr:uid="{00000000-0005-0000-0000-00000C000000}"/>
    <cellStyle name="_preliminaryCashflow and summary5-19-06" xfId="14" xr:uid="{00000000-0005-0000-0000-00000D000000}"/>
    <cellStyle name="_preliminaryCashflow and summary6-10-06 full set" xfId="15" xr:uid="{00000000-0005-0000-0000-00000E000000}"/>
    <cellStyle name="_preliminaryCashflow and summary6-21-06 full set (3)" xfId="16" xr:uid="{00000000-0005-0000-0000-00000F000000}"/>
    <cellStyle name="_wg24450173fvp_USA_a" xfId="17" xr:uid="{00000000-0005-0000-0000-000010000000}"/>
    <cellStyle name="_wg24450173fvp_USA_a_Global Form - Option Summary Template BETWEEN REGIONS ---" xfId="18" xr:uid="{00000000-0005-0000-0000-000011000000}"/>
    <cellStyle name="_wg24450173fvp_USA_a_Global Form - Option Summary Template BETWEEN REGIONS --- (3)" xfId="19" xr:uid="{00000000-0005-0000-0000-000012000000}"/>
    <cellStyle name="_wg24450173fvp_USA_a_grace summary-summary5-24-06 full set" xfId="20" xr:uid="{00000000-0005-0000-0000-000013000000}"/>
    <cellStyle name="_wg24450173fvp_USA_a_preliminaryCashflow and summary6-10-06 full set" xfId="21" xr:uid="{00000000-0005-0000-0000-000014000000}"/>
    <cellStyle name="_wg24450173fvp_USA_a_preliminaryCashflow and summary6-21-06 full set (3)" xfId="22" xr:uid="{00000000-0005-0000-0000-000015000000}"/>
    <cellStyle name="_X353 SGM BASE" xfId="23" xr:uid="{00000000-0005-0000-0000-000016000000}"/>
    <cellStyle name="_X353 SGM UPLEVEL" xfId="24" xr:uid="{00000000-0005-0000-0000-000017000000}"/>
    <cellStyle name="ario Reyes" xfId="25" xr:uid="{00000000-0005-0000-0000-000018000000}"/>
    <cellStyle name="Bold 11" xfId="26" xr:uid="{00000000-0005-0000-0000-000019000000}"/>
    <cellStyle name="Chart Title" xfId="27" xr:uid="{00000000-0005-0000-0000-00001A000000}"/>
    <cellStyle name="column header" xfId="28" xr:uid="{00000000-0005-0000-0000-00001B000000}"/>
    <cellStyle name="column header 10 pt" xfId="29" xr:uid="{00000000-0005-0000-0000-00001C000000}"/>
    <cellStyle name="Column_Title" xfId="30" xr:uid="{00000000-0005-0000-0000-00001D000000}"/>
    <cellStyle name="Dark Title" xfId="31" xr:uid="{00000000-0005-0000-0000-00001E000000}"/>
    <cellStyle name="DATA" xfId="32" xr:uid="{00000000-0005-0000-0000-00001F000000}"/>
    <cellStyle name="DATA 8pt" xfId="33" xr:uid="{00000000-0005-0000-0000-000020000000}"/>
    <cellStyle name="Data_AR2245 10 E2 GMX353 sgm (2)" xfId="34" xr:uid="{00000000-0005-0000-0000-000021000000}"/>
    <cellStyle name="DATACTR" xfId="35" xr:uid="{00000000-0005-0000-0000-000022000000}"/>
    <cellStyle name="dataent" xfId="36" xr:uid="{00000000-0005-0000-0000-000023000000}"/>
    <cellStyle name="Date" xfId="37" xr:uid="{00000000-0005-0000-0000-000024000000}"/>
    <cellStyle name="DATE DATA" xfId="38" xr:uid="{00000000-0005-0000-0000-000025000000}"/>
    <cellStyle name="date/page" xfId="39" xr:uid="{00000000-0005-0000-0000-000026000000}"/>
    <cellStyle name="Date_Mfg Engrg - Transfer Package" xfId="40" xr:uid="{00000000-0005-0000-0000-000027000000}"/>
    <cellStyle name="DEB" xfId="41" xr:uid="{00000000-0005-0000-0000-000028000000}"/>
    <cellStyle name="Decimal 1" xfId="42" xr:uid="{00000000-0005-0000-0000-000029000000}"/>
    <cellStyle name="Decimal 2" xfId="43" xr:uid="{00000000-0005-0000-0000-00002A000000}"/>
    <cellStyle name="Decimal 3" xfId="44" xr:uid="{00000000-0005-0000-0000-00002B000000}"/>
    <cellStyle name="description center" xfId="45" xr:uid="{00000000-0005-0000-0000-00002C000000}"/>
    <cellStyle name="description left" xfId="46" xr:uid="{00000000-0005-0000-0000-00002D000000}"/>
    <cellStyle name="description right" xfId="47" xr:uid="{00000000-0005-0000-0000-00002E000000}"/>
    <cellStyle name="Entry" xfId="48" xr:uid="{00000000-0005-0000-0000-00002F000000}"/>
    <cellStyle name="Fixed" xfId="49" xr:uid="{00000000-0005-0000-0000-000030000000}"/>
    <cellStyle name="form header left" xfId="50" xr:uid="{00000000-0005-0000-0000-000031000000}"/>
    <cellStyle name="form header right" xfId="51" xr:uid="{00000000-0005-0000-0000-000032000000}"/>
    <cellStyle name="Grey" xfId="52" xr:uid="{00000000-0005-0000-0000-000033000000}"/>
    <cellStyle name="Header1" xfId="53" xr:uid="{00000000-0005-0000-0000-000034000000}"/>
    <cellStyle name="Header2" xfId="54" xr:uid="{00000000-0005-0000-0000-000035000000}"/>
    <cellStyle name="Heading 1" xfId="55" xr:uid="{00000000-0005-0000-0000-000036000000}"/>
    <cellStyle name="Heading1" xfId="56" xr:uid="{00000000-0005-0000-0000-000037000000}"/>
    <cellStyle name="Heading2" xfId="57" xr:uid="{00000000-0005-0000-0000-000038000000}"/>
    <cellStyle name="Input %" xfId="58" xr:uid="{00000000-0005-0000-0000-000039000000}"/>
    <cellStyle name="Input [yellow]" xfId="59" xr:uid="{00000000-0005-0000-0000-00003A000000}"/>
    <cellStyle name="Input 1" xfId="60" xr:uid="{00000000-0005-0000-0000-00003B000000}"/>
    <cellStyle name="Input 3" xfId="61" xr:uid="{00000000-0005-0000-0000-00003C000000}"/>
    <cellStyle name="Komma [0]_laroux" xfId="62" xr:uid="{00000000-0005-0000-0000-00003D000000}"/>
    <cellStyle name="Market Segment" xfId="63" xr:uid="{00000000-0005-0000-0000-00003E000000}"/>
    <cellStyle name="Menu Bar" xfId="64" xr:uid="{00000000-0005-0000-0000-00003F000000}"/>
    <cellStyle name="Moeda [0]_aola" xfId="65" xr:uid="{00000000-0005-0000-0000-000040000000}"/>
    <cellStyle name="Moeda_aola" xfId="66" xr:uid="{00000000-0005-0000-0000-000041000000}"/>
    <cellStyle name="Month" xfId="67" xr:uid="{00000000-0005-0000-0000-000042000000}"/>
    <cellStyle name="NA" xfId="68" xr:uid="{00000000-0005-0000-0000-000043000000}"/>
    <cellStyle name="no dec" xfId="69" xr:uid="{00000000-0005-0000-0000-000044000000}"/>
    <cellStyle name="Normal" xfId="0" builtinId="0"/>
    <cellStyle name="Normal - Style1" xfId="70" xr:uid="{00000000-0005-0000-0000-000046000000}"/>
    <cellStyle name="Normal 11" xfId="71" xr:uid="{00000000-0005-0000-0000-000047000000}"/>
    <cellStyle name="Œ…‹æØ‚è [0.00]_laroux" xfId="72" xr:uid="{00000000-0005-0000-0000-000048000000}"/>
    <cellStyle name="Œ…‹æØ‚è_laroux" xfId="73" xr:uid="{00000000-0005-0000-0000-000049000000}"/>
    <cellStyle name="Percent ()" xfId="74" xr:uid="{00000000-0005-0000-0000-00004A000000}"/>
    <cellStyle name="Percent [2]" xfId="75" xr:uid="{00000000-0005-0000-0000-00004B000000}"/>
    <cellStyle name="Percent 1" xfId="76" xr:uid="{00000000-0005-0000-0000-00004C000000}"/>
    <cellStyle name="Percent 2" xfId="77" xr:uid="{00000000-0005-0000-0000-00004D000000}"/>
    <cellStyle name="PSChar" xfId="78" xr:uid="{00000000-0005-0000-0000-00004E000000}"/>
    <cellStyle name="Separador de milhares [0]_Person" xfId="79" xr:uid="{00000000-0005-0000-0000-00004F000000}"/>
    <cellStyle name="Separador de milhares_Person" xfId="80" xr:uid="{00000000-0005-0000-0000-000050000000}"/>
    <cellStyle name="Standaard_laroux" xfId="81" xr:uid="{00000000-0005-0000-0000-000051000000}"/>
    <cellStyle name="Stil 1" xfId="82" xr:uid="{00000000-0005-0000-0000-000052000000}"/>
    <cellStyle name="Stil 2" xfId="83" xr:uid="{00000000-0005-0000-0000-000053000000}"/>
    <cellStyle name="SubTotal" xfId="84" xr:uid="{00000000-0005-0000-0000-000054000000}"/>
    <cellStyle name="Sum" xfId="85" xr:uid="{00000000-0005-0000-0000-000055000000}"/>
    <cellStyle name="Sum %of HV" xfId="86" xr:uid="{00000000-0005-0000-0000-000056000000}"/>
    <cellStyle name="Sum_grace summary-summary5-24-06 full set" xfId="87" xr:uid="{00000000-0005-0000-0000-000057000000}"/>
    <cellStyle name="time" xfId="88" xr:uid="{00000000-0005-0000-0000-000058000000}"/>
    <cellStyle name="TIME DATA" xfId="89" xr:uid="{00000000-0005-0000-0000-000059000000}"/>
    <cellStyle name="Title" xfId="90" xr:uid="{00000000-0005-0000-0000-00005A000000}"/>
    <cellStyle name="Underline 2" xfId="91" xr:uid="{00000000-0005-0000-0000-00005B000000}"/>
    <cellStyle name="Valuta [0]_laroux" xfId="92" xr:uid="{00000000-0005-0000-0000-00005C000000}"/>
    <cellStyle name="Valuta_laroux" xfId="93" xr:uid="{00000000-0005-0000-0000-00005D000000}"/>
    <cellStyle name="Year" xfId="94" xr:uid="{00000000-0005-0000-0000-00005E000000}"/>
    <cellStyle name="고정소숫점?(??)" xfId="95" xr:uid="{00000000-0005-0000-0000-00005F000000}"/>
    <cellStyle name="고정출력1?(??" xfId="96" xr:uid="{00000000-0005-0000-0000-000060000000}"/>
    <cellStyle name="고정출력1_laroux䄀R 卄" xfId="97" xr:uid="{00000000-0005-0000-0000-000061000000}"/>
    <cellStyle name="고정출력2_lar" xfId="98" xr:uid="{00000000-0005-0000-0000-000062000000}"/>
    <cellStyle name="날짜출력" xfId="99" xr:uid="{00000000-0005-0000-0000-000063000000}"/>
    <cellStyle name="달러출력" xfId="100" xr:uid="{00000000-0005-0000-0000-000064000000}"/>
    <cellStyle name="쉼표 [0]_중장기전략 종합2(2030401)" xfId="101" xr:uid="{00000000-0005-0000-0000-000065000000}"/>
    <cellStyle name="원통화" xfId="102" xr:uid="{00000000-0005-0000-0000-000066000000}"/>
    <cellStyle name="자리수02_l" xfId="103" xr:uid="{00000000-0005-0000-0000-000067000000}"/>
    <cellStyle name="자리수력2_" xfId="104" xr:uid="{00000000-0005-0000-0000-000068000000}"/>
    <cellStyle name="콤마 [0]_96 인건비R 卄䅇偁" xfId="105" xr:uid="{00000000-0005-0000-0000-000069000000}"/>
    <cellStyle name="콤마_96 인건비rouxa" xfId="106" xr:uid="{00000000-0005-0000-0000-00006A000000}"/>
    <cellStyle name="퍼센트lar" xfId="107" xr:uid="{00000000-0005-0000-0000-00006B000000}"/>
    <cellStyle name="표준_635N Prodn Release Timing_Compressor" xfId="108" xr:uid="{00000000-0005-0000-0000-00006C000000}"/>
    <cellStyle name="합산_S" xfId="109" xr:uid="{00000000-0005-0000-0000-00006D000000}"/>
    <cellStyle name="화폐기호0eet2" xfId="110" xr:uid="{00000000-0005-0000-0000-00006E000000}"/>
    <cellStyle name="화폐기호heet" xfId="111" xr:uid="{00000000-0005-0000-0000-00006F000000}"/>
    <cellStyle name="常规_GOL AR-1" xfId="112" xr:uid="{00000000-0005-0000-0000-000070000000}"/>
    <cellStyle name="標準_Assy-Board Spec. &amp; Preparation for Short Cycle with TY" xfId="113" xr:uid="{00000000-0005-0000-0000-000071000000}"/>
    <cellStyle name="䀎A" xfId="114" xr:uid="{00000000-0005-0000-0000-000072000000}"/>
  </cellStyles>
  <dxfs count="71"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7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sharedStrings" Target="sharedStrings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9525</xdr:colOff>
      <xdr:row>11</xdr:row>
      <xdr:rowOff>28575</xdr:rowOff>
    </xdr:from>
    <xdr:to>
      <xdr:col>22</xdr:col>
      <xdr:colOff>476250</xdr:colOff>
      <xdr:row>17</xdr:row>
      <xdr:rowOff>57150</xdr:rowOff>
    </xdr:to>
    <xdr:pic>
      <xdr:nvPicPr>
        <xdr:cNvPr id="2135" name="Picture 8">
          <a:extLst>
            <a:ext uri="{FF2B5EF4-FFF2-40B4-BE49-F238E27FC236}">
              <a16:creationId xmlns:a16="http://schemas.microsoft.com/office/drawing/2014/main" id="{00000000-0008-0000-0100-00005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06525" y="3105150"/>
          <a:ext cx="2752725" cy="1657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1268846</xdr:colOff>
      <xdr:row>0</xdr:row>
      <xdr:rowOff>285172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20A6BA6F-AF0B-4C71-AE88-586FFBA90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15391" cy="2851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0</xdr:rowOff>
    </xdr:from>
    <xdr:to>
      <xdr:col>4</xdr:col>
      <xdr:colOff>666750</xdr:colOff>
      <xdr:row>24</xdr:row>
      <xdr:rowOff>0</xdr:rowOff>
    </xdr:to>
    <xdr:sp macro="" textlink="">
      <xdr:nvSpPr>
        <xdr:cNvPr id="4298" name="Line 1">
          <a:extLst>
            <a:ext uri="{FF2B5EF4-FFF2-40B4-BE49-F238E27FC236}">
              <a16:creationId xmlns:a16="http://schemas.microsoft.com/office/drawing/2014/main" id="{00000000-0008-0000-0200-0000CA100000}"/>
            </a:ext>
          </a:extLst>
        </xdr:cNvPr>
        <xdr:cNvSpPr>
          <a:spLocks noChangeShapeType="1"/>
        </xdr:cNvSpPr>
      </xdr:nvSpPr>
      <xdr:spPr bwMode="auto">
        <a:xfrm>
          <a:off x="3657600" y="3790950"/>
          <a:ext cx="6667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12</xdr:row>
      <xdr:rowOff>0</xdr:rowOff>
    </xdr:from>
    <xdr:to>
      <xdr:col>4</xdr:col>
      <xdr:colOff>666750</xdr:colOff>
      <xdr:row>12</xdr:row>
      <xdr:rowOff>0</xdr:rowOff>
    </xdr:to>
    <xdr:sp macro="" textlink="">
      <xdr:nvSpPr>
        <xdr:cNvPr id="4299" name="Line 2">
          <a:extLst>
            <a:ext uri="{FF2B5EF4-FFF2-40B4-BE49-F238E27FC236}">
              <a16:creationId xmlns:a16="http://schemas.microsoft.com/office/drawing/2014/main" id="{00000000-0008-0000-0200-0000CB100000}"/>
            </a:ext>
          </a:extLst>
        </xdr:cNvPr>
        <xdr:cNvSpPr>
          <a:spLocks noChangeShapeType="1"/>
        </xdr:cNvSpPr>
      </xdr:nvSpPr>
      <xdr:spPr bwMode="auto">
        <a:xfrm>
          <a:off x="3657600" y="1743075"/>
          <a:ext cx="6667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4300" name="Line 3">
          <a:extLst>
            <a:ext uri="{FF2B5EF4-FFF2-40B4-BE49-F238E27FC236}">
              <a16:creationId xmlns:a16="http://schemas.microsoft.com/office/drawing/2014/main" id="{00000000-0008-0000-0200-0000CC100000}"/>
            </a:ext>
          </a:extLst>
        </xdr:cNvPr>
        <xdr:cNvSpPr>
          <a:spLocks noChangeShapeType="1"/>
        </xdr:cNvSpPr>
      </xdr:nvSpPr>
      <xdr:spPr bwMode="auto">
        <a:xfrm>
          <a:off x="6029325" y="1743075"/>
          <a:ext cx="885825" cy="514350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23</xdr:row>
      <xdr:rowOff>161925</xdr:rowOff>
    </xdr:to>
    <xdr:sp macro="" textlink="">
      <xdr:nvSpPr>
        <xdr:cNvPr id="4301" name="Line 4">
          <a:extLst>
            <a:ext uri="{FF2B5EF4-FFF2-40B4-BE49-F238E27FC236}">
              <a16:creationId xmlns:a16="http://schemas.microsoft.com/office/drawing/2014/main" id="{00000000-0008-0000-0200-0000CD100000}"/>
            </a:ext>
          </a:extLst>
        </xdr:cNvPr>
        <xdr:cNvSpPr>
          <a:spLocks noChangeShapeType="1"/>
        </xdr:cNvSpPr>
      </xdr:nvSpPr>
      <xdr:spPr bwMode="auto">
        <a:xfrm flipV="1">
          <a:off x="6038850" y="3276600"/>
          <a:ext cx="876300" cy="504825"/>
        </a:xfrm>
        <a:prstGeom prst="line">
          <a:avLst/>
        </a:prstGeom>
        <a:noFill/>
        <a:ln w="571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us-team-eng.delphiauto.net/windows/TEMP/Volume%20Analysi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us-team-sm.delphiauto.net/_99estimates/GMT610/9928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us-team-eng.delphiauto.net/packard/DP/Flow3to4/Shared%20Documents/Sales/Sales%20Acct%20Transfer%20Pack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ESAR\1719-01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exico.delphiauto.net/RAUL%20LEAL/PILOT00.XLW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us-team-eng.delphiauto.net/PA%20gate%20review%20y%20Launch%20issues/_99estimates/GMT610/9928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emea-team-pm.delphiauto.net/PA%20gate%20review%20y%20Launch%20issues/_99estimates/GMT610/99283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ESAR\CTL17-00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us-team-eng.delphiauto.net/packard/DP/KPM_Global_Site/Level1%20Templates/NA%20DEEDS/High%20and%20Low%20Risk%20Programs/NA%20Wiring%20KPM%20File%2011SEP0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xz389b\Desktop\Cuauhtemoc%20GMT-355%20(9-9-02)\MSD%20gmt355%20IP3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exico.delphiauto.net/RAUL%20LEAL/PILOTS00.XLW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SD%20workshops\CHIH%20II\GMT%20820%20and%20830%20(2Z801%20and%202Z805)\MSD%20Chih%20II%20GMT%20800%202Z805%20(L-59%20Engine)%20Old%20forms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vertkalk\alle\makro\KALKMAK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us-team-eng.delphiauto.net/WINNT/Profiles/zzc0m9/Desktop/Launch%20Readiness/formstry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NT\Profiles\zzc0m9\Desktop\Launch%20Readiness\formstry2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Startup" Target="MSEXCEL5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us-team-eng.delphiauto.net/Cost%20Estimating/GM%20Car/EPSILON%20FILES/EPSILON%20II%20-2006/EPSILON%20II%20-2006/GMX%20353%20Buick%20LaCrosse%20quote-bible/CASHFLOW%20ITEMS/DPRG%20INFO/LOGISTICS/Copy%20of%205%2011%2006%20GNX%20353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Kalkulat\Makro\JPMak-Ver.5\JP_Kalk_Prog_Z%20Matrix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us-team-sm.delphiauto.net/windows/TEMP/TEMP/helpa01_Feb9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ume-Sales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STIC"/>
      <sheetName val="INPUT"/>
      <sheetName val="COVER 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Account Transfer Checklist"/>
      <sheetName val="Contact List"/>
      <sheetName val="Issues-Current-History"/>
      <sheetName val="Part Numbers"/>
      <sheetName val="Answers"/>
      <sheetName val="Additional 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***********************00"/>
      <sheetName val="***********************01"/>
      <sheetName val="***********************02"/>
      <sheetName val="***********************04"/>
      <sheetName val="XXXXXXXXXXXXXXXXXXXXXXXXX"/>
      <sheetName val="PORT1719"/>
      <sheetName val="CONTROL17"/>
      <sheetName val="CONTROL19"/>
      <sheetName val="LAYOUT2001 "/>
      <sheetName val="PROYECCION20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PIL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STIC"/>
      <sheetName val="INPUT"/>
      <sheetName val="COVER 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STIC"/>
      <sheetName val="INPUT"/>
      <sheetName val="COVER 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TL19-00"/>
      <sheetName val="I5DPG7SffaHDK5c2P0KWOhZtt"/>
      <sheetName val="PORT17"/>
      <sheetName val="CTL17-00"/>
    </sheetNames>
    <sheetDataSet>
      <sheetData sheetId="0"/>
      <sheetData sheetId="1" refreshError="1"/>
      <sheetData sheetId="2" refreshError="1"/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for Pull Down Menus"/>
      <sheetName val="Help"/>
      <sheetName val="1.Scope Overview Sheet"/>
      <sheetName val="2.TeamList"/>
      <sheetName val="Cust.Cont.RASIC"/>
      <sheetName val="3.PDP  Risk Assessment"/>
      <sheetName val="Wiring Level 1 Plan"/>
      <sheetName val="Opportunities"/>
      <sheetName val="Level 2"/>
      <sheetName val="FLM Report"/>
      <sheetName val="KPI Summary"/>
      <sheetName val="Issues"/>
      <sheetName val="Risks"/>
      <sheetName val="ProfitablilityStrategy"/>
      <sheetName val="ProfitabilityGoals"/>
      <sheetName val="Master Schedule"/>
      <sheetName val="FLM"/>
      <sheetName val="FLM RiskImpactGuide .PPT"/>
      <sheetName val="4.New Imperative Scorecard"/>
      <sheetName val="ScorecardGraphs"/>
      <sheetName val="Tracker pg 2"/>
      <sheetName val="5.Project Review Decision Sheet"/>
      <sheetName val="7.NEW CT Checklist 2 27 04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"/>
      <sheetName val="Workshop Summary"/>
      <sheetName val="Takt"/>
      <sheetName val="TableOfContents"/>
      <sheetName val="Notes"/>
      <sheetName val="Precedence Diagram"/>
      <sheetName val="Precedence Diagram (2)"/>
      <sheetName val="Mfg Sequence Chart"/>
      <sheetName val="Value Stream"/>
      <sheetName val="MB for equipment"/>
      <sheetName val="MB FA Option 1"/>
      <sheetName val="MB FA Option 1 (2)"/>
      <sheetName val="Layout"/>
      <sheetName val="Oper Bal I.P. 355"/>
      <sheetName val="PFP-1"/>
      <sheetName val="Labor Linearity"/>
      <sheetName val="Incremental Investment"/>
      <sheetName val="PartPresPlan "/>
      <sheetName val="Action Items"/>
      <sheetName val="MSD Plan"/>
      <sheetName val="Difference"/>
      <sheetName val="LCC Option 1(selected)"/>
      <sheetName val="LCC Option 2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PIL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s"/>
      <sheetName val="Workshop Overview"/>
      <sheetName val="Notes"/>
      <sheetName val="Value Stream"/>
      <sheetName val="Precedence Diagram"/>
      <sheetName val="Takt"/>
      <sheetName val="Takt Processes"/>
      <sheetName val="Mfg Sequence Chart"/>
      <sheetName val="Layout"/>
      <sheetName val="Machine Balance"/>
      <sheetName val="PFP"/>
      <sheetName val="Life Cycle Cost"/>
      <sheetName val="OperBal"/>
      <sheetName val="OperBal (2)"/>
      <sheetName val="MSD Pla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kro1"/>
      <sheetName val="Formelgenerator"/>
      <sheetName val="Symb. K."/>
      <sheetName val="TN"/>
      <sheetName val="Z Matrix"/>
      <sheetName val="V Matrix"/>
      <sheetName val="K Matrix"/>
      <sheetName val="Matrix Mat."/>
      <sheetName val="Matrix Cu"/>
      <sheetName val="Matrix Min."/>
      <sheetName val="TN K."/>
      <sheetName val="Blatt K. M."/>
      <sheetName val="Blatt Z. M."/>
      <sheetName val="Blatt TN"/>
      <sheetName val="Blatt TN K."/>
      <sheetName val="Vertrieb"/>
      <sheetName val="Ansicht"/>
      <sheetName val="BOM"/>
      <sheetName val="TN Blatt"/>
      <sheetName val="Opel BOM"/>
      <sheetName val="Tabelle14"/>
      <sheetName val="Tabelle15"/>
      <sheetName val="Tabelle16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DP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DP"/>
    </sheetNames>
    <sheetDataSet>
      <sheetData sheetId="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ndurasTotals and Explanations"/>
      <sheetName val="FOB our Mexican Plant"/>
      <sheetName val="Analysis"/>
    </sheetNames>
    <sheetDataSet>
      <sheetData sheetId="0" refreshError="1"/>
      <sheetData sheetId="1" refreshError="1"/>
      <sheetData sheetId="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Z Matrix"/>
      <sheetName val="Tabelle2"/>
      <sheetName val="Z Matrix (2)"/>
    </sheetNames>
    <sheetDataSet>
      <sheetData sheetId="0"/>
      <sheetData sheetId="1"/>
      <sheetData sheetId="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tting Started"/>
      <sheetName val="Metric A01"/>
      <sheetName val="DelphiData"/>
      <sheetName val="VBCharts"/>
      <sheetName val="Wrksht"/>
      <sheetName val="XL4Poppy"/>
    </sheetNames>
    <sheetDataSet>
      <sheetData sheetId="0"/>
      <sheetData sheetId="1"/>
      <sheetData sheetId="2"/>
      <sheetData sheetId="3" refreshError="1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34"/>
  </sheetPr>
  <dimension ref="A1:Z62"/>
  <sheetViews>
    <sheetView showGridLines="0" tabSelected="1" topLeftCell="A19" zoomScale="53" zoomScaleNormal="85" zoomScaleSheetLayoutView="75" workbookViewId="0">
      <selection activeCell="M35" sqref="M35"/>
    </sheetView>
  </sheetViews>
  <sheetFormatPr defaultColWidth="11.44140625" defaultRowHeight="13.2"/>
  <cols>
    <col min="1" max="1" width="9.109375" customWidth="1"/>
    <col min="2" max="2" width="59.109375" customWidth="1"/>
    <col min="3" max="3" width="18.109375" customWidth="1"/>
    <col min="4" max="4" width="9.44140625" customWidth="1"/>
    <col min="5" max="5" width="8.44140625" hidden="1" customWidth="1"/>
    <col min="6" max="6" width="8.44140625" customWidth="1"/>
    <col min="7" max="7" width="9.109375" customWidth="1"/>
    <col min="8" max="8" width="9.6640625" customWidth="1"/>
    <col min="9" max="9" width="0" hidden="1" customWidth="1"/>
    <col min="10" max="10" width="5.44140625" hidden="1" customWidth="1"/>
    <col min="11" max="12" width="7.5546875" hidden="1" customWidth="1"/>
    <col min="13" max="13" width="11.5546875" customWidth="1"/>
    <col min="14" max="14" width="31" customWidth="1"/>
    <col min="15" max="15" width="7.5546875" customWidth="1"/>
    <col min="16" max="16" width="3.88671875" customWidth="1"/>
  </cols>
  <sheetData>
    <row r="1" spans="1:26" ht="30" customHeight="1">
      <c r="D1" s="136" t="s">
        <v>0</v>
      </c>
    </row>
    <row r="2" spans="1:26" ht="15.6">
      <c r="B2" s="1" t="s">
        <v>1</v>
      </c>
      <c r="C2" s="1"/>
      <c r="D2" s="136" t="s">
        <v>2</v>
      </c>
    </row>
    <row r="3" spans="1:26" ht="13.8" thickBot="1"/>
    <row r="4" spans="1:26">
      <c r="A4" s="2" t="s">
        <v>3</v>
      </c>
      <c r="B4" s="3"/>
      <c r="C4" s="3"/>
      <c r="D4" s="4"/>
      <c r="E4" s="5"/>
      <c r="F4" s="6"/>
      <c r="G4" s="7"/>
      <c r="H4" s="8"/>
      <c r="I4" s="140" t="s">
        <v>4</v>
      </c>
      <c r="J4" s="141"/>
      <c r="K4" s="141"/>
      <c r="L4" s="142"/>
      <c r="M4" s="5" t="s">
        <v>5</v>
      </c>
      <c r="N4" s="9" t="s">
        <v>6</v>
      </c>
      <c r="O4" s="5"/>
    </row>
    <row r="5" spans="1:26" ht="53.4" thickBot="1">
      <c r="A5" s="10" t="s">
        <v>7</v>
      </c>
      <c r="B5" s="11" t="s">
        <v>8</v>
      </c>
      <c r="C5" s="143" t="s">
        <v>9</v>
      </c>
      <c r="D5" s="144" t="s">
        <v>10</v>
      </c>
      <c r="E5" s="12" t="s">
        <v>11</v>
      </c>
      <c r="F5" s="13" t="s">
        <v>12</v>
      </c>
      <c r="G5" s="145" t="s">
        <v>13</v>
      </c>
      <c r="H5" s="14" t="s">
        <v>14</v>
      </c>
      <c r="I5" s="146" t="s">
        <v>15</v>
      </c>
      <c r="J5" s="147" t="s">
        <v>16</v>
      </c>
      <c r="K5" s="147" t="s">
        <v>17</v>
      </c>
      <c r="L5" s="148" t="s">
        <v>18</v>
      </c>
      <c r="M5" s="15" t="s">
        <v>19</v>
      </c>
      <c r="N5" s="66" t="s">
        <v>20</v>
      </c>
      <c r="O5" s="16" t="s">
        <v>21</v>
      </c>
    </row>
    <row r="6" spans="1:26" ht="16.5" customHeight="1" thickBot="1">
      <c r="A6" s="68"/>
      <c r="B6" s="69"/>
      <c r="C6" s="69"/>
      <c r="D6" s="4"/>
      <c r="E6" s="5"/>
      <c r="F6" s="70"/>
      <c r="G6" s="71"/>
      <c r="H6" s="5"/>
      <c r="I6" s="4"/>
      <c r="J6" s="70"/>
      <c r="K6" s="70"/>
      <c r="L6" s="71"/>
      <c r="M6" s="5"/>
      <c r="N6" s="72"/>
      <c r="O6" s="5"/>
      <c r="Q6" s="17" t="s">
        <v>22</v>
      </c>
      <c r="R6" s="159" t="s">
        <v>23</v>
      </c>
      <c r="S6" s="160"/>
      <c r="T6" s="160"/>
      <c r="U6" s="160"/>
      <c r="V6" s="160"/>
      <c r="W6" s="160"/>
      <c r="X6" s="160"/>
      <c r="Y6" s="160"/>
      <c r="Z6" s="160"/>
    </row>
    <row r="7" spans="1:26" ht="27" customHeight="1" thickBot="1">
      <c r="A7" s="92" t="s">
        <v>24</v>
      </c>
      <c r="B7" s="93"/>
      <c r="C7" s="149"/>
      <c r="D7" s="150"/>
      <c r="E7" s="93"/>
      <c r="F7" s="151"/>
      <c r="G7" s="152"/>
      <c r="H7" s="94"/>
      <c r="I7" s="94"/>
      <c r="J7" s="94"/>
      <c r="K7" s="94"/>
      <c r="L7" s="95"/>
      <c r="M7" s="93"/>
      <c r="N7" s="96"/>
      <c r="O7" s="97"/>
      <c r="Q7" s="17" t="s">
        <v>25</v>
      </c>
      <c r="R7" s="157" t="s">
        <v>26</v>
      </c>
      <c r="S7" s="158"/>
      <c r="T7" s="158"/>
      <c r="U7" s="158"/>
      <c r="V7" s="158"/>
      <c r="W7" s="158"/>
      <c r="X7" s="158"/>
      <c r="Y7" s="158"/>
      <c r="Z7" s="158"/>
    </row>
    <row r="8" spans="1:26" ht="30.9" customHeight="1">
      <c r="A8" s="83" t="s">
        <v>27</v>
      </c>
      <c r="B8" s="84" t="s">
        <v>28</v>
      </c>
      <c r="C8" s="84"/>
      <c r="D8" s="119"/>
      <c r="E8" s="85" t="b">
        <f>IF(D8="&lt;30%",0.3,IF(D8="30-90%",0.6,IF(D8="&gt;90%",0.9)))</f>
        <v>0</v>
      </c>
      <c r="F8" s="121"/>
      <c r="G8" s="153">
        <f>E8*F8</f>
        <v>0</v>
      </c>
      <c r="H8" s="86"/>
      <c r="I8" s="87"/>
      <c r="J8" s="88"/>
      <c r="K8" s="88"/>
      <c r="L8" s="89"/>
      <c r="M8" s="90"/>
      <c r="N8" s="35"/>
      <c r="O8" s="91"/>
      <c r="Q8" s="17" t="s">
        <v>29</v>
      </c>
      <c r="R8" s="161" t="s">
        <v>30</v>
      </c>
      <c r="S8" s="162"/>
      <c r="T8" s="162"/>
      <c r="U8" s="162"/>
      <c r="V8" s="162"/>
      <c r="W8" s="162"/>
      <c r="X8" s="162"/>
      <c r="Y8" s="162"/>
      <c r="Z8" s="162"/>
    </row>
    <row r="9" spans="1:26" ht="27.6">
      <c r="A9" s="80" t="s">
        <v>31</v>
      </c>
      <c r="B9" s="73" t="s">
        <v>32</v>
      </c>
      <c r="C9" s="73"/>
      <c r="D9" s="119"/>
      <c r="E9" s="18" t="b">
        <f>IF(D9="&lt;30%",0.3,IF(D9="30-90%",0.6,IF(D9="&gt;90%",0.9)))</f>
        <v>0</v>
      </c>
      <c r="F9" s="121"/>
      <c r="G9" s="122">
        <f>E9*F9</f>
        <v>0</v>
      </c>
      <c r="H9" s="19"/>
      <c r="I9" s="20"/>
      <c r="J9" s="21"/>
      <c r="K9" s="21"/>
      <c r="L9" s="22"/>
      <c r="M9" s="23"/>
      <c r="N9" s="24"/>
      <c r="O9" s="91"/>
      <c r="Q9" s="17" t="s">
        <v>33</v>
      </c>
      <c r="S9" s="67"/>
    </row>
    <row r="10" spans="1:26" ht="17.399999999999999">
      <c r="A10" s="81" t="s">
        <v>34</v>
      </c>
      <c r="B10" s="130" t="s">
        <v>35</v>
      </c>
      <c r="C10" s="73"/>
      <c r="D10" s="119"/>
      <c r="E10" s="18" t="b">
        <f>IF(D10="&lt;30%",0.3,IF(D10="30-90%",0.6,IF(D10="&gt;90%",0.9)))</f>
        <v>0</v>
      </c>
      <c r="F10" s="121"/>
      <c r="G10" s="122">
        <f>E10*F10</f>
        <v>0</v>
      </c>
      <c r="H10" s="74"/>
      <c r="I10" s="75"/>
      <c r="J10" s="76"/>
      <c r="K10" s="76"/>
      <c r="L10" s="77"/>
      <c r="M10" s="78"/>
      <c r="N10" s="79"/>
      <c r="O10" s="91"/>
      <c r="Q10" s="67"/>
      <c r="S10" s="67"/>
    </row>
    <row r="11" spans="1:26" ht="17.399999999999999">
      <c r="A11" s="81" t="s">
        <v>36</v>
      </c>
      <c r="B11" s="73" t="s">
        <v>37</v>
      </c>
      <c r="C11" s="73"/>
      <c r="D11" s="119"/>
      <c r="E11" s="18" t="b">
        <f>IF(D11="&lt;30%",0.3,IF(D11="30-90%",0.6,IF(D11="&gt;90%",0.9)))</f>
        <v>0</v>
      </c>
      <c r="F11" s="121"/>
      <c r="G11" s="122">
        <f>E11*F11</f>
        <v>0</v>
      </c>
      <c r="H11" s="74"/>
      <c r="I11" s="75"/>
      <c r="J11" s="76"/>
      <c r="K11" s="76"/>
      <c r="L11" s="77"/>
      <c r="M11" s="78"/>
      <c r="N11" s="79"/>
      <c r="O11" s="91"/>
      <c r="Q11" s="67"/>
      <c r="S11" s="67"/>
    </row>
    <row r="12" spans="1:26" ht="18" thickBot="1">
      <c r="A12" s="26"/>
      <c r="B12" s="73" t="s">
        <v>38</v>
      </c>
      <c r="C12" s="99"/>
      <c r="D12" s="119"/>
      <c r="E12" s="27" t="b">
        <f>IF(D12="&lt;30%",0.3,IF(D12="30-90%",0.6,IF(D12="&gt;90%",0.9)))</f>
        <v>0</v>
      </c>
      <c r="F12" s="121"/>
      <c r="G12" s="154">
        <f>E12*F12</f>
        <v>0</v>
      </c>
      <c r="H12" s="28"/>
      <c r="I12" s="29"/>
      <c r="J12" s="30"/>
      <c r="K12" s="30"/>
      <c r="L12" s="31"/>
      <c r="M12" s="32"/>
      <c r="N12" s="33"/>
      <c r="O12" s="91"/>
    </row>
    <row r="13" spans="1:26" ht="27" customHeight="1" thickBot="1">
      <c r="A13" s="131" t="s">
        <v>39</v>
      </c>
      <c r="B13" s="149"/>
      <c r="C13" s="93"/>
      <c r="D13" s="150"/>
      <c r="E13" s="93"/>
      <c r="F13" s="151"/>
      <c r="G13" s="152"/>
      <c r="H13" s="94"/>
      <c r="I13" s="94"/>
      <c r="J13" s="94"/>
      <c r="K13" s="94"/>
      <c r="L13" s="95"/>
      <c r="M13" s="93"/>
      <c r="N13" s="96"/>
      <c r="O13" s="97"/>
      <c r="Q13" s="67"/>
      <c r="R13" s="101"/>
      <c r="S13" s="101"/>
      <c r="T13" s="101"/>
      <c r="U13" s="101"/>
      <c r="V13" s="101"/>
      <c r="W13" s="101"/>
      <c r="X13" s="101"/>
      <c r="Y13" s="101"/>
      <c r="Z13" s="101"/>
    </row>
    <row r="14" spans="1:26" ht="27.6">
      <c r="A14" s="83" t="s">
        <v>27</v>
      </c>
      <c r="B14" s="84" t="s">
        <v>40</v>
      </c>
      <c r="C14" s="84"/>
      <c r="D14" s="119"/>
      <c r="E14" s="85" t="b">
        <f>IF(D14="&lt;30%",0.3,IF(D14="30-90%",0.6,IF(D14="&gt;90%",0.9)))</f>
        <v>0</v>
      </c>
      <c r="F14" s="121"/>
      <c r="G14" s="153">
        <f t="shared" ref="G14:G22" si="0">E14*F14</f>
        <v>0</v>
      </c>
      <c r="H14" s="86"/>
      <c r="I14" s="87"/>
      <c r="J14" s="88"/>
      <c r="K14" s="88"/>
      <c r="L14" s="89"/>
      <c r="M14" s="90"/>
      <c r="N14" s="35"/>
      <c r="O14" s="91"/>
    </row>
    <row r="15" spans="1:26" ht="17.399999999999999">
      <c r="A15" s="80" t="s">
        <v>31</v>
      </c>
      <c r="B15" s="73" t="s">
        <v>41</v>
      </c>
      <c r="C15" s="73"/>
      <c r="D15" s="119"/>
      <c r="E15" s="85"/>
      <c r="F15" s="121"/>
      <c r="G15" s="122">
        <f t="shared" si="0"/>
        <v>0</v>
      </c>
      <c r="H15" s="19"/>
      <c r="I15" s="20"/>
      <c r="J15" s="21"/>
      <c r="K15" s="21"/>
      <c r="L15" s="22"/>
      <c r="M15" s="23"/>
      <c r="N15" s="24"/>
      <c r="O15" s="91"/>
    </row>
    <row r="16" spans="1:26" ht="17.399999999999999">
      <c r="A16" s="81" t="s">
        <v>34</v>
      </c>
      <c r="B16" s="73" t="s">
        <v>42</v>
      </c>
      <c r="C16" s="73"/>
      <c r="D16" s="119"/>
      <c r="E16" s="85" t="b">
        <f>IF(D16="&lt;30%",0.3,IF(D16="30-90%",0.6,IF(D16="&gt;90%",0.9)))</f>
        <v>0</v>
      </c>
      <c r="F16" s="121"/>
      <c r="G16" s="122">
        <f t="shared" si="0"/>
        <v>0</v>
      </c>
      <c r="H16" s="19"/>
      <c r="I16" s="20"/>
      <c r="J16" s="21"/>
      <c r="K16" s="21"/>
      <c r="L16" s="22"/>
      <c r="M16" s="23"/>
      <c r="N16" s="24"/>
      <c r="O16" s="91"/>
    </row>
    <row r="17" spans="1:26" ht="17.399999999999999">
      <c r="A17" s="81" t="s">
        <v>36</v>
      </c>
      <c r="B17" s="73" t="s">
        <v>43</v>
      </c>
      <c r="C17" s="73"/>
      <c r="D17" s="119"/>
      <c r="E17" s="85" t="b">
        <f>IF(D17="&lt;30%",0.3,IF(D17="30-90%",0.6,IF(D17="&gt;90%",0.9)))</f>
        <v>0</v>
      </c>
      <c r="F17" s="121"/>
      <c r="G17" s="122">
        <f t="shared" si="0"/>
        <v>0</v>
      </c>
      <c r="H17" s="74"/>
      <c r="I17" s="75"/>
      <c r="J17" s="76"/>
      <c r="K17" s="76"/>
      <c r="L17" s="77"/>
      <c r="M17" s="78"/>
      <c r="N17" s="79"/>
      <c r="O17" s="91"/>
    </row>
    <row r="18" spans="1:26" ht="19.5" customHeight="1">
      <c r="A18" s="81" t="s">
        <v>44</v>
      </c>
      <c r="B18" s="73" t="s">
        <v>45</v>
      </c>
      <c r="C18" s="102"/>
      <c r="D18" s="155"/>
      <c r="E18" s="85"/>
      <c r="F18" s="121"/>
      <c r="G18" s="122">
        <f t="shared" si="0"/>
        <v>0</v>
      </c>
      <c r="H18" s="74"/>
      <c r="I18" s="75"/>
      <c r="J18" s="76"/>
      <c r="K18" s="76"/>
      <c r="L18" s="77"/>
      <c r="M18" s="78"/>
      <c r="N18" s="79"/>
      <c r="O18" s="91"/>
    </row>
    <row r="19" spans="1:26" ht="17.399999999999999">
      <c r="A19" s="81" t="s">
        <v>46</v>
      </c>
      <c r="B19" s="73" t="s">
        <v>47</v>
      </c>
      <c r="C19" s="73"/>
      <c r="D19" s="119"/>
      <c r="E19" s="85" t="b">
        <f>IF(D19="&lt;30%",0.3,IF(D19="30-90%",0.6,IF(D19="&gt;90%",0.9)))</f>
        <v>0</v>
      </c>
      <c r="F19" s="121"/>
      <c r="G19" s="153">
        <f t="shared" si="0"/>
        <v>0</v>
      </c>
      <c r="H19" s="74"/>
      <c r="I19" s="75"/>
      <c r="J19" s="76"/>
      <c r="K19" s="76"/>
      <c r="L19" s="77"/>
      <c r="M19" s="78"/>
      <c r="N19" s="79"/>
      <c r="O19" s="91"/>
    </row>
    <row r="20" spans="1:26" ht="17.399999999999999">
      <c r="A20" s="81" t="s">
        <v>48</v>
      </c>
      <c r="B20" s="73" t="s">
        <v>49</v>
      </c>
      <c r="C20" s="73"/>
      <c r="D20" s="119"/>
      <c r="E20" s="85" t="b">
        <f>IF(D20="&lt;30%",0.3,IF(D20="30-90%",0.6,IF(D20="&gt;90%",0.9)))</f>
        <v>0</v>
      </c>
      <c r="F20" s="121"/>
      <c r="G20" s="122">
        <f t="shared" si="0"/>
        <v>0</v>
      </c>
      <c r="H20" s="74"/>
      <c r="I20" s="75"/>
      <c r="J20" s="76"/>
      <c r="K20" s="76"/>
      <c r="L20" s="77"/>
      <c r="M20" s="78"/>
      <c r="N20" s="79"/>
      <c r="O20" s="91"/>
    </row>
    <row r="21" spans="1:26" ht="17.399999999999999">
      <c r="A21" s="81" t="s">
        <v>50</v>
      </c>
      <c r="B21" s="73" t="s">
        <v>37</v>
      </c>
      <c r="C21" s="73"/>
      <c r="D21" s="119"/>
      <c r="E21" s="85" t="b">
        <f>IF(D21="&lt;30%",0.3,IF(D21="30-90%",0.6,IF(D21="&gt;90%",0.9)))</f>
        <v>0</v>
      </c>
      <c r="F21" s="121"/>
      <c r="G21" s="122">
        <f t="shared" si="0"/>
        <v>0</v>
      </c>
      <c r="H21" s="74"/>
      <c r="I21" s="75"/>
      <c r="J21" s="76"/>
      <c r="K21" s="76"/>
      <c r="L21" s="77"/>
      <c r="M21" s="78"/>
      <c r="N21" s="79"/>
      <c r="O21" s="91"/>
    </row>
    <row r="22" spans="1:26" ht="18" thickBot="1">
      <c r="A22" s="26"/>
      <c r="B22" s="73" t="s">
        <v>38</v>
      </c>
      <c r="C22" s="99"/>
      <c r="D22" s="119"/>
      <c r="E22" s="27" t="b">
        <f>IF(D22="&lt;30%",0.3,IF(D22="30-90%",0.6,IF(D22="&gt;90%",0.9)))</f>
        <v>0</v>
      </c>
      <c r="F22" s="121"/>
      <c r="G22" s="122">
        <f t="shared" si="0"/>
        <v>0</v>
      </c>
      <c r="H22" s="28"/>
      <c r="I22" s="29"/>
      <c r="J22" s="30"/>
      <c r="K22" s="30"/>
      <c r="L22" s="31"/>
      <c r="M22" s="32"/>
      <c r="N22" s="33"/>
      <c r="O22" s="91"/>
    </row>
    <row r="23" spans="1:26" ht="27" customHeight="1" thickBot="1">
      <c r="A23" s="92" t="s">
        <v>51</v>
      </c>
      <c r="B23" s="149"/>
      <c r="C23" s="93"/>
      <c r="D23" s="150"/>
      <c r="E23" s="93"/>
      <c r="F23" s="151"/>
      <c r="G23" s="152"/>
      <c r="H23" s="94"/>
      <c r="I23" s="94"/>
      <c r="J23" s="94"/>
      <c r="K23" s="94"/>
      <c r="L23" s="95"/>
      <c r="M23" s="93"/>
      <c r="N23" s="96"/>
      <c r="O23" s="97"/>
      <c r="Q23" s="67"/>
      <c r="R23" s="101"/>
      <c r="S23" s="101"/>
      <c r="T23" s="101"/>
      <c r="U23" s="101"/>
      <c r="V23" s="101"/>
      <c r="W23" s="101"/>
      <c r="X23" s="101"/>
      <c r="Y23" s="101"/>
      <c r="Z23" s="101"/>
    </row>
    <row r="24" spans="1:26" ht="17.399999999999999">
      <c r="A24" s="80" t="s">
        <v>27</v>
      </c>
      <c r="B24" s="73" t="s">
        <v>52</v>
      </c>
      <c r="C24" s="73"/>
      <c r="D24" s="119"/>
      <c r="E24" s="18" t="b">
        <f t="shared" ref="E24:E30" si="1">IF(D24="&lt;30%",0.3,IF(D24="30-90%",0.6,IF(D24="&gt;90%",0.9)))</f>
        <v>0</v>
      </c>
      <c r="F24" s="121"/>
      <c r="G24" s="122">
        <f t="shared" ref="G24:G30" si="2">E24*F24</f>
        <v>0</v>
      </c>
      <c r="H24" s="19"/>
      <c r="I24" s="20"/>
      <c r="J24" s="21"/>
      <c r="K24" s="21"/>
      <c r="L24" s="22"/>
      <c r="M24" s="23"/>
      <c r="N24" s="24"/>
      <c r="O24" s="91"/>
    </row>
    <row r="25" spans="1:26" ht="17.399999999999999">
      <c r="A25" s="80" t="s">
        <v>31</v>
      </c>
      <c r="B25" s="73" t="s">
        <v>53</v>
      </c>
      <c r="C25" s="73"/>
      <c r="D25" s="119"/>
      <c r="E25" s="18" t="b">
        <f t="shared" si="1"/>
        <v>0</v>
      </c>
      <c r="F25" s="121"/>
      <c r="G25" s="122">
        <f t="shared" si="2"/>
        <v>0</v>
      </c>
      <c r="H25" s="19"/>
      <c r="I25" s="20"/>
      <c r="J25" s="21"/>
      <c r="K25" s="21"/>
      <c r="L25" s="22"/>
      <c r="M25" s="23"/>
      <c r="N25" s="24"/>
      <c r="O25" s="91"/>
    </row>
    <row r="26" spans="1:26" ht="27.6">
      <c r="A26" s="81" t="s">
        <v>34</v>
      </c>
      <c r="B26" s="73" t="s">
        <v>54</v>
      </c>
      <c r="C26" s="73"/>
      <c r="D26" s="119"/>
      <c r="E26" s="18" t="b">
        <f t="shared" si="1"/>
        <v>0</v>
      </c>
      <c r="F26" s="121"/>
      <c r="G26" s="122">
        <f t="shared" si="2"/>
        <v>0</v>
      </c>
      <c r="H26" s="19"/>
      <c r="I26" s="20"/>
      <c r="J26" s="21"/>
      <c r="K26" s="21"/>
      <c r="L26" s="22"/>
      <c r="M26" s="23"/>
      <c r="N26" s="24"/>
      <c r="O26" s="91"/>
    </row>
    <row r="27" spans="1:26" ht="17.399999999999999">
      <c r="A27" s="81" t="s">
        <v>36</v>
      </c>
      <c r="B27" s="73" t="s">
        <v>55</v>
      </c>
      <c r="C27" s="73"/>
      <c r="D27" s="119"/>
      <c r="E27" s="18" t="b">
        <f t="shared" si="1"/>
        <v>0</v>
      </c>
      <c r="F27" s="121"/>
      <c r="G27" s="122">
        <f t="shared" si="2"/>
        <v>0</v>
      </c>
      <c r="H27" s="19"/>
      <c r="I27" s="20"/>
      <c r="J27" s="21"/>
      <c r="K27" s="21"/>
      <c r="L27" s="22"/>
      <c r="M27" s="23"/>
      <c r="N27" s="24"/>
      <c r="O27" s="91"/>
    </row>
    <row r="28" spans="1:26" ht="27.6">
      <c r="A28" s="81" t="s">
        <v>44</v>
      </c>
      <c r="B28" s="73" t="s">
        <v>56</v>
      </c>
      <c r="C28" s="73"/>
      <c r="D28" s="119"/>
      <c r="E28" s="18" t="b">
        <f t="shared" si="1"/>
        <v>0</v>
      </c>
      <c r="F28" s="121"/>
      <c r="G28" s="122">
        <f t="shared" si="2"/>
        <v>0</v>
      </c>
      <c r="H28" s="19"/>
      <c r="I28" s="20"/>
      <c r="J28" s="21"/>
      <c r="K28" s="21"/>
      <c r="L28" s="22"/>
      <c r="M28" s="23"/>
      <c r="N28" s="24"/>
      <c r="O28" s="91"/>
    </row>
    <row r="29" spans="1:26" s="118" customFormat="1" ht="27.6">
      <c r="A29" s="81" t="s">
        <v>46</v>
      </c>
      <c r="B29" s="73" t="s">
        <v>57</v>
      </c>
      <c r="C29" s="106"/>
      <c r="D29" s="107"/>
      <c r="E29" s="108"/>
      <c r="F29" s="109"/>
      <c r="G29" s="110"/>
      <c r="H29" s="111"/>
      <c r="I29" s="112"/>
      <c r="J29" s="113"/>
      <c r="K29" s="113"/>
      <c r="L29" s="114"/>
      <c r="M29" s="115"/>
      <c r="N29" s="116"/>
      <c r="O29" s="117"/>
    </row>
    <row r="30" spans="1:26" ht="18" thickBot="1">
      <c r="A30" s="26"/>
      <c r="B30" s="73" t="s">
        <v>38</v>
      </c>
      <c r="C30" s="99"/>
      <c r="D30" s="119"/>
      <c r="E30" s="27" t="b">
        <f t="shared" si="1"/>
        <v>0</v>
      </c>
      <c r="F30" s="121"/>
      <c r="G30" s="154">
        <f t="shared" si="2"/>
        <v>0</v>
      </c>
      <c r="H30" s="28"/>
      <c r="I30" s="29"/>
      <c r="J30" s="30"/>
      <c r="K30" s="30"/>
      <c r="L30" s="31"/>
      <c r="M30" s="32"/>
      <c r="N30" s="33"/>
      <c r="O30" s="91"/>
    </row>
    <row r="31" spans="1:26" ht="27" customHeight="1" thickBot="1">
      <c r="A31" s="131" t="s">
        <v>58</v>
      </c>
      <c r="B31" s="149"/>
      <c r="C31" s="93"/>
      <c r="D31" s="150"/>
      <c r="E31" s="93"/>
      <c r="F31" s="151"/>
      <c r="G31" s="152"/>
      <c r="H31" s="94"/>
      <c r="I31" s="94"/>
      <c r="J31" s="94"/>
      <c r="K31" s="94"/>
      <c r="L31" s="95"/>
      <c r="M31" s="93"/>
      <c r="N31" s="96"/>
      <c r="O31" s="97"/>
      <c r="Q31" s="67"/>
      <c r="R31" s="101"/>
      <c r="S31" s="101"/>
      <c r="T31" s="101"/>
      <c r="U31" s="101"/>
      <c r="V31" s="101"/>
      <c r="W31" s="101"/>
      <c r="X31" s="101"/>
      <c r="Y31" s="101"/>
      <c r="Z31" s="101"/>
    </row>
    <row r="32" spans="1:26" ht="27.6">
      <c r="A32" s="80" t="s">
        <v>27</v>
      </c>
      <c r="B32" s="73" t="s">
        <v>59</v>
      </c>
      <c r="C32" s="73"/>
      <c r="D32" s="119"/>
      <c r="E32" s="18" t="b">
        <f>IF(D32="&lt;30%",0.3,IF(D32="30-90%",0.6,IF(D32="&gt;90%",0.9)))</f>
        <v>0</v>
      </c>
      <c r="F32" s="121"/>
      <c r="G32" s="122">
        <f>E32*F32</f>
        <v>0</v>
      </c>
      <c r="H32" s="19"/>
      <c r="I32" s="20"/>
      <c r="J32" s="21"/>
      <c r="K32" s="21"/>
      <c r="L32" s="22"/>
      <c r="M32" s="23"/>
      <c r="N32" s="24"/>
      <c r="O32" s="91"/>
    </row>
    <row r="33" spans="1:26" ht="27.6">
      <c r="A33" s="80" t="s">
        <v>31</v>
      </c>
      <c r="B33" s="73" t="s">
        <v>60</v>
      </c>
      <c r="C33" s="73"/>
      <c r="D33" s="119"/>
      <c r="E33" s="18" t="b">
        <f>IF(D33="&lt;30%",0.3,IF(D33="30-90%",0.6,IF(D33="&gt;90%",0.9)))</f>
        <v>0</v>
      </c>
      <c r="F33" s="121"/>
      <c r="G33" s="122">
        <f>E33*F33</f>
        <v>0</v>
      </c>
      <c r="H33" s="19"/>
      <c r="I33" s="20"/>
      <c r="J33" s="21"/>
      <c r="K33" s="21"/>
      <c r="L33" s="22"/>
      <c r="M33" s="23"/>
      <c r="N33" s="156"/>
      <c r="O33" s="91"/>
    </row>
    <row r="34" spans="1:26" ht="27.6">
      <c r="A34" s="81" t="s">
        <v>34</v>
      </c>
      <c r="B34" s="73" t="s">
        <v>61</v>
      </c>
      <c r="C34" s="73"/>
      <c r="D34" s="119"/>
      <c r="E34" s="18" t="b">
        <f>IF(D34="&lt;30%",0.3,IF(D34="30-90%",0.6,IF(D34="&gt;90%",0.9)))</f>
        <v>0</v>
      </c>
      <c r="F34" s="121"/>
      <c r="G34" s="122">
        <f>E34*F34</f>
        <v>0</v>
      </c>
      <c r="H34" s="19"/>
      <c r="I34" s="20"/>
      <c r="J34" s="21"/>
      <c r="K34" s="21"/>
      <c r="L34" s="22"/>
      <c r="M34" s="23"/>
      <c r="N34" s="156"/>
      <c r="O34" s="91"/>
    </row>
    <row r="35" spans="1:26" ht="18" thickBot="1">
      <c r="A35" s="26"/>
      <c r="B35" s="82" t="s">
        <v>38</v>
      </c>
      <c r="C35" s="100"/>
      <c r="D35" s="119"/>
      <c r="E35" s="27" t="b">
        <f>IF(D35="&lt;30%",0.3,IF(D35="30-90%",0.6,IF(D35="&gt;90%",0.9)))</f>
        <v>0</v>
      </c>
      <c r="F35" s="121"/>
      <c r="G35" s="154">
        <f>E35*F35</f>
        <v>0</v>
      </c>
      <c r="H35" s="28"/>
      <c r="I35" s="29"/>
      <c r="J35" s="30"/>
      <c r="K35" s="30"/>
      <c r="L35" s="31"/>
      <c r="M35" s="32"/>
      <c r="N35" s="33"/>
      <c r="O35" s="34"/>
    </row>
    <row r="36" spans="1:26" ht="27" customHeight="1" thickBot="1">
      <c r="A36" s="131" t="s">
        <v>62</v>
      </c>
      <c r="B36" s="149"/>
      <c r="C36" s="93"/>
      <c r="D36" s="150"/>
      <c r="E36" s="93"/>
      <c r="F36" s="151"/>
      <c r="G36" s="152"/>
      <c r="H36" s="94"/>
      <c r="I36" s="94"/>
      <c r="J36" s="94"/>
      <c r="K36" s="94"/>
      <c r="L36" s="95"/>
      <c r="M36" s="93"/>
      <c r="N36" s="96"/>
      <c r="O36" s="97"/>
      <c r="Q36" s="67"/>
      <c r="R36" s="101"/>
      <c r="S36" s="101"/>
      <c r="T36" s="101"/>
      <c r="U36" s="101"/>
      <c r="V36" s="101"/>
      <c r="W36" s="101"/>
      <c r="X36" s="101"/>
      <c r="Y36" s="101"/>
      <c r="Z36" s="101"/>
    </row>
    <row r="37" spans="1:26" ht="27.6">
      <c r="A37" s="132" t="s">
        <v>27</v>
      </c>
      <c r="B37" s="130" t="s">
        <v>63</v>
      </c>
      <c r="C37" s="73"/>
      <c r="D37" s="119"/>
      <c r="E37" s="18" t="b">
        <f>IF(D37="&lt;30%",0.3,IF(D37="30-90%",0.6,IF(D37="&gt;90%",0.9)))</f>
        <v>0</v>
      </c>
      <c r="F37" s="121"/>
      <c r="G37" s="122">
        <f>E37*F37</f>
        <v>0</v>
      </c>
      <c r="H37" s="19"/>
      <c r="I37" s="20"/>
      <c r="J37" s="21"/>
      <c r="K37" s="21"/>
      <c r="L37" s="22"/>
      <c r="M37" s="23"/>
      <c r="N37" s="24"/>
      <c r="O37" s="25"/>
    </row>
    <row r="38" spans="1:26" ht="27.6">
      <c r="A38" s="132" t="s">
        <v>31</v>
      </c>
      <c r="B38" s="130" t="s">
        <v>64</v>
      </c>
      <c r="C38" s="73"/>
      <c r="D38" s="119"/>
      <c r="E38" s="18" t="b">
        <f>IF(D38="&lt;30%",0.3,IF(D38="30-90%",0.6,IF(D38="&gt;90%",0.9)))</f>
        <v>0</v>
      </c>
      <c r="F38" s="121"/>
      <c r="G38" s="122">
        <f>E38*F38</f>
        <v>0</v>
      </c>
      <c r="H38" s="19"/>
      <c r="I38" s="20"/>
      <c r="J38" s="21"/>
      <c r="K38" s="21"/>
      <c r="L38" s="22"/>
      <c r="M38" s="23"/>
      <c r="N38" s="24"/>
      <c r="O38" s="91"/>
    </row>
    <row r="39" spans="1:26" ht="27.6">
      <c r="A39" s="133" t="s">
        <v>34</v>
      </c>
      <c r="B39" s="130" t="s">
        <v>65</v>
      </c>
      <c r="C39" s="73"/>
      <c r="D39" s="119"/>
      <c r="E39" s="18" t="b">
        <f>IF(D39="&lt;30%",0.3,IF(D39="30-90%",0.6,IF(D39="&gt;90%",0.9)))</f>
        <v>0</v>
      </c>
      <c r="F39" s="121"/>
      <c r="G39" s="122">
        <f>E39*F39</f>
        <v>0</v>
      </c>
      <c r="H39" s="19"/>
      <c r="I39" s="20"/>
      <c r="J39" s="21"/>
      <c r="K39" s="21"/>
      <c r="L39" s="22"/>
      <c r="M39" s="23"/>
      <c r="N39" s="156"/>
      <c r="O39" s="91"/>
    </row>
    <row r="40" spans="1:26" s="129" customFormat="1" ht="33" customHeight="1" thickBot="1">
      <c r="A40" s="134" t="s">
        <v>36</v>
      </c>
      <c r="B40" s="130" t="s">
        <v>66</v>
      </c>
      <c r="C40" s="99"/>
      <c r="D40" s="119"/>
      <c r="E40" s="120" t="b">
        <f>IF(D40="&lt;30%",0.3,IF(D40="30-90%",0.6,IF(D40="&gt;90%",0.9)))</f>
        <v>0</v>
      </c>
      <c r="F40" s="121"/>
      <c r="G40" s="122">
        <f>E40*F40</f>
        <v>0</v>
      </c>
      <c r="H40" s="123"/>
      <c r="I40" s="124"/>
      <c r="J40" s="125"/>
      <c r="K40" s="125"/>
      <c r="L40" s="126"/>
      <c r="M40" s="127"/>
      <c r="N40" s="128"/>
      <c r="O40" s="91"/>
    </row>
    <row r="41" spans="1:26" ht="27" customHeight="1" thickBot="1">
      <c r="A41" s="131" t="s">
        <v>67</v>
      </c>
      <c r="B41" s="135"/>
      <c r="C41" s="93"/>
      <c r="D41" s="150"/>
      <c r="E41" s="93"/>
      <c r="F41" s="151"/>
      <c r="G41" s="152"/>
      <c r="H41" s="94"/>
      <c r="I41" s="94"/>
      <c r="J41" s="94"/>
      <c r="K41" s="94"/>
      <c r="L41" s="95"/>
      <c r="M41" s="93"/>
      <c r="N41" s="96"/>
      <c r="O41" s="97"/>
      <c r="Q41" s="67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ht="27.6">
      <c r="A42" s="132" t="s">
        <v>27</v>
      </c>
      <c r="B42" s="130" t="s">
        <v>68</v>
      </c>
      <c r="C42" s="73"/>
      <c r="D42" s="119"/>
      <c r="E42" s="18" t="b">
        <f t="shared" ref="E42:E48" si="3">IF(D42="&lt;30%",0.3,IF(D42="30-90%",0.6,IF(D42="&gt;90%",0.9)))</f>
        <v>0</v>
      </c>
      <c r="F42" s="121"/>
      <c r="G42" s="122">
        <f t="shared" ref="G42:G48" si="4">E42*F42</f>
        <v>0</v>
      </c>
      <c r="H42" s="19"/>
      <c r="I42" s="20"/>
      <c r="J42" s="21"/>
      <c r="K42" s="21"/>
      <c r="L42" s="22"/>
      <c r="M42" s="23"/>
      <c r="N42" s="24"/>
      <c r="O42" s="91"/>
    </row>
    <row r="43" spans="1:26" ht="41.4">
      <c r="A43" s="132" t="s">
        <v>31</v>
      </c>
      <c r="B43" s="130" t="s">
        <v>69</v>
      </c>
      <c r="C43" s="73"/>
      <c r="D43" s="119"/>
      <c r="E43" s="18" t="b">
        <f t="shared" si="3"/>
        <v>0</v>
      </c>
      <c r="F43" s="121"/>
      <c r="G43" s="122">
        <f t="shared" si="4"/>
        <v>0</v>
      </c>
      <c r="H43" s="19"/>
      <c r="I43" s="20"/>
      <c r="J43" s="21"/>
      <c r="K43" s="21"/>
      <c r="L43" s="22"/>
      <c r="M43" s="23"/>
      <c r="N43" s="24"/>
      <c r="O43" s="91"/>
    </row>
    <row r="44" spans="1:26" ht="17.399999999999999">
      <c r="A44" s="81" t="s">
        <v>34</v>
      </c>
      <c r="B44" s="73" t="s">
        <v>70</v>
      </c>
      <c r="C44" s="73"/>
      <c r="D44" s="119"/>
      <c r="E44" s="18" t="b">
        <f t="shared" si="3"/>
        <v>0</v>
      </c>
      <c r="F44" s="121"/>
      <c r="G44" s="122">
        <f t="shared" si="4"/>
        <v>0</v>
      </c>
      <c r="H44" s="19"/>
      <c r="I44" s="20"/>
      <c r="J44" s="21"/>
      <c r="K44" s="21"/>
      <c r="L44" s="22"/>
      <c r="M44" s="23"/>
      <c r="N44" s="24"/>
      <c r="O44" s="91"/>
    </row>
    <row r="45" spans="1:26" ht="17.399999999999999">
      <c r="A45" s="81" t="s">
        <v>36</v>
      </c>
      <c r="B45" s="73" t="s">
        <v>71</v>
      </c>
      <c r="C45" s="73"/>
      <c r="D45" s="119"/>
      <c r="E45" s="18" t="b">
        <f t="shared" si="3"/>
        <v>0</v>
      </c>
      <c r="F45" s="121"/>
      <c r="G45" s="122">
        <f t="shared" si="4"/>
        <v>0</v>
      </c>
      <c r="H45" s="19"/>
      <c r="I45" s="20"/>
      <c r="J45" s="21"/>
      <c r="K45" s="21"/>
      <c r="L45" s="22"/>
      <c r="M45" s="23"/>
      <c r="N45" s="24"/>
      <c r="O45" s="91"/>
    </row>
    <row r="46" spans="1:26" ht="17.399999999999999">
      <c r="A46" s="81" t="s">
        <v>44</v>
      </c>
      <c r="B46" s="73" t="s">
        <v>72</v>
      </c>
      <c r="C46" s="73"/>
      <c r="D46" s="119"/>
      <c r="E46" s="18" t="b">
        <f t="shared" si="3"/>
        <v>0</v>
      </c>
      <c r="F46" s="121"/>
      <c r="G46" s="122">
        <f t="shared" si="4"/>
        <v>0</v>
      </c>
      <c r="H46" s="19"/>
      <c r="I46" s="20"/>
      <c r="J46" s="21"/>
      <c r="K46" s="21"/>
      <c r="L46" s="22"/>
      <c r="M46" s="23"/>
      <c r="N46" s="156"/>
      <c r="O46" s="91"/>
    </row>
    <row r="47" spans="1:26" ht="17.399999999999999">
      <c r="A47" s="81" t="s">
        <v>46</v>
      </c>
      <c r="B47" s="73" t="s">
        <v>73</v>
      </c>
      <c r="C47" s="73"/>
      <c r="D47" s="119"/>
      <c r="E47" s="18" t="b">
        <f t="shared" si="3"/>
        <v>0</v>
      </c>
      <c r="F47" s="121"/>
      <c r="G47" s="122">
        <f t="shared" si="4"/>
        <v>0</v>
      </c>
      <c r="H47" s="19"/>
      <c r="I47" s="20"/>
      <c r="J47" s="21"/>
      <c r="K47" s="21"/>
      <c r="L47" s="22"/>
      <c r="M47" s="23"/>
      <c r="N47" s="24"/>
      <c r="O47" s="91"/>
    </row>
    <row r="48" spans="1:26" ht="18" thickBot="1">
      <c r="A48" s="105"/>
      <c r="B48" s="104"/>
      <c r="C48" s="99"/>
      <c r="D48" s="119"/>
      <c r="E48" s="18" t="b">
        <f t="shared" si="3"/>
        <v>0</v>
      </c>
      <c r="F48" s="121"/>
      <c r="G48" s="122">
        <f t="shared" si="4"/>
        <v>0</v>
      </c>
      <c r="H48" s="19"/>
      <c r="I48" s="20"/>
      <c r="J48" s="21"/>
      <c r="K48" s="21"/>
      <c r="L48" s="22"/>
      <c r="M48" s="23"/>
      <c r="N48" s="24"/>
      <c r="O48" s="91"/>
    </row>
    <row r="49" spans="1:15" ht="27" customHeight="1" thickBot="1">
      <c r="A49" s="92" t="s">
        <v>74</v>
      </c>
      <c r="B49" s="149"/>
      <c r="C49" s="93"/>
      <c r="D49" s="150"/>
      <c r="E49" s="93"/>
      <c r="F49" s="151"/>
      <c r="G49" s="152"/>
      <c r="H49" s="94"/>
      <c r="I49" s="94"/>
      <c r="J49" s="94"/>
      <c r="K49" s="94"/>
      <c r="L49" s="95"/>
      <c r="M49" s="93"/>
      <c r="N49" s="96"/>
      <c r="O49" s="97"/>
    </row>
    <row r="50" spans="1:15" ht="55.2">
      <c r="A50" s="132" t="s">
        <v>27</v>
      </c>
      <c r="B50" s="130" t="s">
        <v>75</v>
      </c>
      <c r="C50" s="73"/>
      <c r="D50" s="119"/>
      <c r="E50" s="18" t="b">
        <f t="shared" ref="E50:E55" si="5">IF(D50="&lt;30%",0.3,IF(D50="30-90%",0.6,IF(D50="&gt;90%",0.9)))</f>
        <v>0</v>
      </c>
      <c r="F50" s="121"/>
      <c r="G50" s="122">
        <f t="shared" ref="G50:G55" si="6">E50*F50</f>
        <v>0</v>
      </c>
      <c r="H50" s="19"/>
      <c r="I50" s="20"/>
      <c r="J50" s="21"/>
      <c r="K50" s="21"/>
      <c r="L50" s="22"/>
      <c r="M50" s="23"/>
      <c r="N50" s="24"/>
      <c r="O50" s="91"/>
    </row>
    <row r="51" spans="1:15" ht="27.6">
      <c r="A51" s="132" t="s">
        <v>31</v>
      </c>
      <c r="B51" s="130" t="s">
        <v>76</v>
      </c>
      <c r="C51" s="73"/>
      <c r="D51" s="119"/>
      <c r="E51" s="18" t="b">
        <f t="shared" si="5"/>
        <v>0</v>
      </c>
      <c r="F51" s="121"/>
      <c r="G51" s="122">
        <f t="shared" si="6"/>
        <v>0</v>
      </c>
      <c r="H51" s="19"/>
      <c r="I51" s="20"/>
      <c r="J51" s="21"/>
      <c r="K51" s="21"/>
      <c r="L51" s="22"/>
      <c r="M51" s="23"/>
      <c r="N51" s="24"/>
      <c r="O51" s="91"/>
    </row>
    <row r="52" spans="1:15" ht="28.8">
      <c r="A52" s="138" t="s">
        <v>34</v>
      </c>
      <c r="B52" s="137" t="s">
        <v>77</v>
      </c>
      <c r="C52" s="73"/>
      <c r="D52" s="119"/>
      <c r="E52" s="18" t="b">
        <f t="shared" si="5"/>
        <v>0</v>
      </c>
      <c r="F52" s="121"/>
      <c r="G52" s="122">
        <f t="shared" si="6"/>
        <v>0</v>
      </c>
      <c r="H52" s="19"/>
      <c r="I52" s="20"/>
      <c r="J52" s="21"/>
      <c r="K52" s="21"/>
      <c r="L52" s="22"/>
      <c r="M52" s="23"/>
      <c r="N52" s="24"/>
      <c r="O52" s="91"/>
    </row>
    <row r="53" spans="1:15" ht="41.4">
      <c r="A53" s="138" t="s">
        <v>36</v>
      </c>
      <c r="B53" s="130" t="s">
        <v>78</v>
      </c>
      <c r="C53" s="73"/>
      <c r="D53" s="119"/>
      <c r="E53" s="18" t="b">
        <f t="shared" si="5"/>
        <v>0</v>
      </c>
      <c r="F53" s="121"/>
      <c r="G53" s="122">
        <f t="shared" si="6"/>
        <v>0</v>
      </c>
      <c r="H53" s="19"/>
      <c r="I53" s="20"/>
      <c r="J53" s="21"/>
      <c r="K53" s="21"/>
      <c r="L53" s="22"/>
      <c r="M53" s="23"/>
      <c r="N53" s="156"/>
      <c r="O53" s="91"/>
    </row>
    <row r="54" spans="1:15" ht="41.4">
      <c r="A54" s="138" t="s">
        <v>44</v>
      </c>
      <c r="B54" s="130" t="s">
        <v>79</v>
      </c>
      <c r="C54" s="73"/>
      <c r="D54" s="119"/>
      <c r="E54" s="18" t="b">
        <f t="shared" si="5"/>
        <v>0</v>
      </c>
      <c r="F54" s="121"/>
      <c r="G54" s="122">
        <f t="shared" si="6"/>
        <v>0</v>
      </c>
      <c r="H54" s="19"/>
      <c r="I54" s="20"/>
      <c r="J54" s="21"/>
      <c r="K54" s="21"/>
      <c r="L54" s="22"/>
      <c r="M54" s="23"/>
      <c r="N54" s="156"/>
      <c r="O54" s="91"/>
    </row>
    <row r="55" spans="1:15" ht="41.4">
      <c r="A55" s="138" t="s">
        <v>80</v>
      </c>
      <c r="B55" s="130" t="s">
        <v>81</v>
      </c>
      <c r="C55" s="73"/>
      <c r="D55" s="119"/>
      <c r="E55" s="18" t="b">
        <f t="shared" si="5"/>
        <v>0</v>
      </c>
      <c r="F55" s="121"/>
      <c r="G55" s="122">
        <f t="shared" si="6"/>
        <v>0</v>
      </c>
      <c r="H55" s="19"/>
      <c r="I55" s="20"/>
      <c r="J55" s="21"/>
      <c r="K55" s="21"/>
      <c r="L55" s="22"/>
      <c r="M55" s="23"/>
      <c r="N55" s="156"/>
      <c r="O55" s="91"/>
    </row>
    <row r="56" spans="1:15" ht="27.6">
      <c r="A56" s="138" t="s">
        <v>48</v>
      </c>
      <c r="B56" s="130" t="s">
        <v>82</v>
      </c>
      <c r="C56" s="73"/>
      <c r="D56" s="119"/>
      <c r="E56" s="18" t="b">
        <f>IF(D56="&lt;30%",0.3,IF(D56="30-90%",0.6,IF(D56="&gt;90%",0.9)))</f>
        <v>0</v>
      </c>
      <c r="F56" s="121"/>
      <c r="G56" s="122">
        <f>E56*F56</f>
        <v>0</v>
      </c>
      <c r="H56" s="19"/>
      <c r="I56" s="20"/>
      <c r="J56" s="21"/>
      <c r="K56" s="21"/>
      <c r="L56" s="22"/>
      <c r="M56" s="23"/>
      <c r="N56" s="24"/>
      <c r="O56" s="91"/>
    </row>
    <row r="57" spans="1:15" ht="27.6">
      <c r="A57" s="138" t="s">
        <v>50</v>
      </c>
      <c r="B57" s="130" t="s">
        <v>83</v>
      </c>
      <c r="C57" s="73"/>
      <c r="D57" s="119"/>
      <c r="E57" s="18" t="b">
        <f>IF(D57="&lt;30%",0.3,IF(D57="30-90%",0.6,IF(D57="&gt;90%",0.9)))</f>
        <v>0</v>
      </c>
      <c r="F57" s="121"/>
      <c r="G57" s="122">
        <f>E57*F57</f>
        <v>0</v>
      </c>
      <c r="H57" s="19"/>
      <c r="I57" s="20"/>
      <c r="J57" s="21"/>
      <c r="K57" s="21"/>
      <c r="L57" s="22"/>
      <c r="M57" s="23"/>
      <c r="N57" s="24"/>
      <c r="O57" s="91"/>
    </row>
    <row r="58" spans="1:15" ht="27.6">
      <c r="A58" s="138" t="s">
        <v>84</v>
      </c>
      <c r="B58" s="130" t="s">
        <v>85</v>
      </c>
      <c r="C58" s="73"/>
      <c r="D58" s="119"/>
      <c r="E58" s="18" t="b">
        <f>IF(D58="&lt;30%",0.3,IF(D58="30-90%",0.6,IF(D58="&gt;90%",0.9)))</f>
        <v>0</v>
      </c>
      <c r="F58" s="121"/>
      <c r="G58" s="122">
        <f>E58*F58</f>
        <v>0</v>
      </c>
      <c r="H58" s="19"/>
      <c r="I58" s="20"/>
      <c r="J58" s="21"/>
      <c r="K58" s="21"/>
      <c r="L58" s="22"/>
      <c r="M58" s="23"/>
      <c r="N58" s="24"/>
      <c r="O58" s="91"/>
    </row>
    <row r="59" spans="1:15" ht="27.6">
      <c r="A59" s="138" t="s">
        <v>86</v>
      </c>
      <c r="B59" s="130" t="s">
        <v>87</v>
      </c>
      <c r="C59" s="73"/>
      <c r="D59" s="119"/>
      <c r="E59" s="18" t="b">
        <f>IF(D59="&lt;30%",0.3,IF(D59="30-90%",0.6,IF(D59="&gt;90%",0.9)))</f>
        <v>0</v>
      </c>
      <c r="F59" s="121"/>
      <c r="G59" s="122">
        <f>E59*F59</f>
        <v>0</v>
      </c>
      <c r="H59" s="19"/>
      <c r="I59" s="20"/>
      <c r="J59" s="21"/>
      <c r="K59" s="21"/>
      <c r="L59" s="22"/>
      <c r="M59" s="23"/>
      <c r="N59" s="24"/>
      <c r="O59" s="91"/>
    </row>
    <row r="60" spans="1:15" ht="17.399999999999999">
      <c r="A60" s="138" t="s">
        <v>88</v>
      </c>
      <c r="B60" s="130" t="s">
        <v>89</v>
      </c>
      <c r="C60" s="73"/>
      <c r="D60" s="119"/>
      <c r="E60" s="18" t="b">
        <f>IF(D60="&lt;30%",0.3,IF(D60="30-90%",0.6,IF(D60="&gt;90%",0.9)))</f>
        <v>0</v>
      </c>
      <c r="F60" s="121"/>
      <c r="G60" s="122">
        <f>E60*F60</f>
        <v>0</v>
      </c>
      <c r="H60" s="19"/>
      <c r="I60" s="20"/>
      <c r="J60" s="21"/>
      <c r="K60" s="21"/>
      <c r="L60" s="22"/>
      <c r="M60" s="23"/>
      <c r="N60" s="24"/>
      <c r="O60" s="91"/>
    </row>
    <row r="61" spans="1:15" ht="13.8">
      <c r="A61" s="103"/>
    </row>
    <row r="62" spans="1:15" ht="13.8">
      <c r="B62" s="98"/>
      <c r="C62" s="98"/>
    </row>
  </sheetData>
  <mergeCells count="3">
    <mergeCell ref="R7:Z7"/>
    <mergeCell ref="R6:Z6"/>
    <mergeCell ref="R8:Z8"/>
  </mergeCells>
  <phoneticPr fontId="13" type="noConversion"/>
  <conditionalFormatting sqref="D7">
    <cfRule type="cellIs" dxfId="70" priority="763" stopIfTrue="1" operator="equal">
      <formula>0.3</formula>
    </cfRule>
    <cfRule type="cellIs" dxfId="69" priority="764" stopIfTrue="1" operator="equal">
      <formula>0.6</formula>
    </cfRule>
    <cfRule type="cellIs" dxfId="68" priority="765" stopIfTrue="1" operator="equal">
      <formula>0.9</formula>
    </cfRule>
  </conditionalFormatting>
  <conditionalFormatting sqref="D8:D12 D14:D22 D37:D40">
    <cfRule type="cellIs" dxfId="67" priority="768" stopIfTrue="1" operator="equal">
      <formula>"&gt;90%"</formula>
    </cfRule>
    <cfRule type="cellIs" dxfId="66" priority="767" stopIfTrue="1" operator="equal">
      <formula>"30-90%"</formula>
    </cfRule>
    <cfRule type="cellIs" dxfId="65" priority="766" stopIfTrue="1" operator="equal">
      <formula>"&lt;30%"</formula>
    </cfRule>
  </conditionalFormatting>
  <conditionalFormatting sqref="D13">
    <cfRule type="cellIs" dxfId="64" priority="678" stopIfTrue="1" operator="equal">
      <formula>0.9</formula>
    </cfRule>
    <cfRule type="cellIs" dxfId="63" priority="676" stopIfTrue="1" operator="equal">
      <formula>0.3</formula>
    </cfRule>
    <cfRule type="cellIs" dxfId="62" priority="677" stopIfTrue="1" operator="equal">
      <formula>0.6</formula>
    </cfRule>
  </conditionalFormatting>
  <conditionalFormatting sqref="D23">
    <cfRule type="cellIs" dxfId="61" priority="666" stopIfTrue="1" operator="equal">
      <formula>0.9</formula>
    </cfRule>
    <cfRule type="cellIs" dxfId="60" priority="664" stopIfTrue="1" operator="equal">
      <formula>0.3</formula>
    </cfRule>
    <cfRule type="cellIs" dxfId="59" priority="665" stopIfTrue="1" operator="equal">
      <formula>0.6</formula>
    </cfRule>
  </conditionalFormatting>
  <conditionalFormatting sqref="D24:D30">
    <cfRule type="cellIs" dxfId="58" priority="138" stopIfTrue="1" operator="equal">
      <formula>"&gt;90%"</formula>
    </cfRule>
    <cfRule type="cellIs" dxfId="57" priority="136" stopIfTrue="1" operator="equal">
      <formula>"&lt;30%"</formula>
    </cfRule>
    <cfRule type="cellIs" dxfId="56" priority="137" stopIfTrue="1" operator="equal">
      <formula>"30-90%"</formula>
    </cfRule>
  </conditionalFormatting>
  <conditionalFormatting sqref="D31">
    <cfRule type="cellIs" dxfId="55" priority="654" stopIfTrue="1" operator="equal">
      <formula>0.9</formula>
    </cfRule>
    <cfRule type="cellIs" dxfId="54" priority="653" stopIfTrue="1" operator="equal">
      <formula>0.6</formula>
    </cfRule>
    <cfRule type="cellIs" dxfId="53" priority="652" stopIfTrue="1" operator="equal">
      <formula>0.3</formula>
    </cfRule>
  </conditionalFormatting>
  <conditionalFormatting sqref="D32:D35">
    <cfRule type="cellIs" dxfId="52" priority="126" stopIfTrue="1" operator="equal">
      <formula>"&gt;90%"</formula>
    </cfRule>
    <cfRule type="cellIs" dxfId="51" priority="124" stopIfTrue="1" operator="equal">
      <formula>"&lt;30%"</formula>
    </cfRule>
    <cfRule type="cellIs" dxfId="50" priority="125" stopIfTrue="1" operator="equal">
      <formula>"30-90%"</formula>
    </cfRule>
  </conditionalFormatting>
  <conditionalFormatting sqref="D36">
    <cfRule type="cellIs" dxfId="49" priority="628" stopIfTrue="1" operator="equal">
      <formula>0.3</formula>
    </cfRule>
    <cfRule type="cellIs" dxfId="48" priority="629" stopIfTrue="1" operator="equal">
      <formula>0.6</formula>
    </cfRule>
    <cfRule type="cellIs" dxfId="47" priority="630" stopIfTrue="1" operator="equal">
      <formula>0.9</formula>
    </cfRule>
  </conditionalFormatting>
  <conditionalFormatting sqref="D41">
    <cfRule type="cellIs" dxfId="46" priority="618" stopIfTrue="1" operator="equal">
      <formula>0.9</formula>
    </cfRule>
    <cfRule type="cellIs" dxfId="45" priority="617" stopIfTrue="1" operator="equal">
      <formula>0.6</formula>
    </cfRule>
    <cfRule type="cellIs" dxfId="44" priority="616" stopIfTrue="1" operator="equal">
      <formula>0.3</formula>
    </cfRule>
  </conditionalFormatting>
  <conditionalFormatting sqref="D42:D48">
    <cfRule type="cellIs" dxfId="43" priority="107" stopIfTrue="1" operator="equal">
      <formula>"30-90%"</formula>
    </cfRule>
    <cfRule type="cellIs" dxfId="42" priority="108" stopIfTrue="1" operator="equal">
      <formula>"&gt;90%"</formula>
    </cfRule>
    <cfRule type="cellIs" dxfId="41" priority="106" stopIfTrue="1" operator="equal">
      <formula>"&lt;30%"</formula>
    </cfRule>
  </conditionalFormatting>
  <conditionalFormatting sqref="D49">
    <cfRule type="cellIs" dxfId="40" priority="597" stopIfTrue="1" operator="equal">
      <formula>0.9</formula>
    </cfRule>
    <cfRule type="cellIs" dxfId="39" priority="595" stopIfTrue="1" operator="equal">
      <formula>0.3</formula>
    </cfRule>
    <cfRule type="cellIs" dxfId="38" priority="596" stopIfTrue="1" operator="equal">
      <formula>0.6</formula>
    </cfRule>
  </conditionalFormatting>
  <conditionalFormatting sqref="D50:D60">
    <cfRule type="cellIs" dxfId="37" priority="5" stopIfTrue="1" operator="equal">
      <formula>"30-90%"</formula>
    </cfRule>
    <cfRule type="cellIs" dxfId="36" priority="4" stopIfTrue="1" operator="equal">
      <formula>"&lt;30%"</formula>
    </cfRule>
    <cfRule type="cellIs" dxfId="35" priority="6" stopIfTrue="1" operator="equal">
      <formula>"&gt;90%"</formula>
    </cfRule>
  </conditionalFormatting>
  <conditionalFormatting sqref="F7:F60">
    <cfRule type="cellIs" dxfId="34" priority="1" stopIfTrue="1" operator="equal">
      <formula>3</formula>
    </cfRule>
    <cfRule type="cellIs" dxfId="33" priority="3" stopIfTrue="1" operator="equal">
      <formula>9</formula>
    </cfRule>
    <cfRule type="cellIs" dxfId="32" priority="2" stopIfTrue="1" operator="equal">
      <formula>6</formula>
    </cfRule>
  </conditionalFormatting>
  <conditionalFormatting sqref="G7:G60">
    <cfRule type="cellIs" dxfId="31" priority="12" stopIfTrue="1" operator="between">
      <formula>5</formula>
      <formula>9</formula>
    </cfRule>
    <cfRule type="cellIs" dxfId="30" priority="11" stopIfTrue="1" operator="between">
      <formula>1</formula>
      <formula>5</formula>
    </cfRule>
    <cfRule type="cellIs" dxfId="29" priority="10" stopIfTrue="1" operator="between">
      <formula>0.7</formula>
      <formula>1</formula>
    </cfRule>
  </conditionalFormatting>
  <conditionalFormatting sqref="O7:O60">
    <cfRule type="cellIs" dxfId="28" priority="9" stopIfTrue="1" operator="equal">
      <formula>$Q$8</formula>
    </cfRule>
    <cfRule type="cellIs" dxfId="27" priority="7" stopIfTrue="1" operator="equal">
      <formula>$Q$6</formula>
    </cfRule>
    <cfRule type="cellIs" dxfId="26" priority="8" stopIfTrue="1" operator="equal">
      <formula>$Q$7</formula>
    </cfRule>
  </conditionalFormatting>
  <conditionalFormatting sqref="Q6:Q11">
    <cfRule type="cellIs" dxfId="25" priority="762" stopIfTrue="1" operator="equal">
      <formula>$Q$8</formula>
    </cfRule>
    <cfRule type="cellIs" dxfId="24" priority="761" stopIfTrue="1" operator="equal">
      <formula>$Q$7</formula>
    </cfRule>
    <cfRule type="cellIs" dxfId="23" priority="760" stopIfTrue="1" operator="equal">
      <formula>$Q$6</formula>
    </cfRule>
  </conditionalFormatting>
  <conditionalFormatting sqref="Q13">
    <cfRule type="cellIs" dxfId="22" priority="674" stopIfTrue="1" operator="equal">
      <formula>$Q$7</formula>
    </cfRule>
    <cfRule type="cellIs" dxfId="21" priority="675" stopIfTrue="1" operator="equal">
      <formula>$Q$8</formula>
    </cfRule>
    <cfRule type="cellIs" dxfId="20" priority="673" stopIfTrue="1" operator="equal">
      <formula>$Q$6</formula>
    </cfRule>
  </conditionalFormatting>
  <conditionalFormatting sqref="Q23">
    <cfRule type="cellIs" dxfId="19" priority="661" stopIfTrue="1" operator="equal">
      <formula>$Q$6</formula>
    </cfRule>
    <cfRule type="cellIs" dxfId="18" priority="662" stopIfTrue="1" operator="equal">
      <formula>$Q$7</formula>
    </cfRule>
    <cfRule type="cellIs" dxfId="17" priority="663" stopIfTrue="1" operator="equal">
      <formula>$Q$8</formula>
    </cfRule>
  </conditionalFormatting>
  <conditionalFormatting sqref="Q31">
    <cfRule type="cellIs" dxfId="16" priority="650" stopIfTrue="1" operator="equal">
      <formula>$Q$7</formula>
    </cfRule>
    <cfRule type="cellIs" dxfId="15" priority="651" stopIfTrue="1" operator="equal">
      <formula>$Q$8</formula>
    </cfRule>
    <cfRule type="cellIs" dxfId="14" priority="649" stopIfTrue="1" operator="equal">
      <formula>$Q$6</formula>
    </cfRule>
  </conditionalFormatting>
  <conditionalFormatting sqref="Q36">
    <cfRule type="cellIs" dxfId="13" priority="627" stopIfTrue="1" operator="equal">
      <formula>$Q$8</formula>
    </cfRule>
    <cfRule type="cellIs" dxfId="12" priority="625" stopIfTrue="1" operator="equal">
      <formula>$Q$6</formula>
    </cfRule>
    <cfRule type="cellIs" dxfId="11" priority="626" stopIfTrue="1" operator="equal">
      <formula>$Q$7</formula>
    </cfRule>
  </conditionalFormatting>
  <conditionalFormatting sqref="Q41">
    <cfRule type="cellIs" dxfId="10" priority="613" stopIfTrue="1" operator="equal">
      <formula>$Q$6</formula>
    </cfRule>
    <cfRule type="cellIs" dxfId="9" priority="615" stopIfTrue="1" operator="equal">
      <formula>$Q$8</formula>
    </cfRule>
    <cfRule type="cellIs" dxfId="8" priority="614" stopIfTrue="1" operator="equal">
      <formula>$Q$7</formula>
    </cfRule>
  </conditionalFormatting>
  <dataValidations xWindow="598" yWindow="479" count="4">
    <dataValidation type="list" allowBlank="1" showInputMessage="1" showErrorMessage="1" errorTitle="Invalid entry:" error="Please click &quot;Cancel&quot; and select 30%, 60%, or 90% from the pull-down menu." promptTitle="Probability:" prompt="The probability that the negative risk event will occur" sqref="D49:E49 D7:E7 D41:E41 D36:E36 D31:E31 D23:E23 D13:E13" xr:uid="{00000000-0002-0000-0100-000000000000}">
      <formula1>"90%,60%,30%"</formula1>
    </dataValidation>
    <dataValidation type="list" allowBlank="1" showInputMessage="1" showErrorMessage="1" errorTitle="Invalid entry:" error="Please click &quot;Cancel&quot; and select 30%, 60%, or 90% from the pull-down menu." promptTitle="Probability:" prompt="The probability that the negative risk event will occur" sqref="D32:D35 D24:D30 D14:D22 D42:D48 D8:D12 D50:D60 D37:D40" xr:uid="{00000000-0002-0000-0100-000001000000}">
      <formula1>"&gt;90%,30-90%,&lt;30%"</formula1>
    </dataValidation>
    <dataValidation type="list" allowBlank="1" showInputMessage="1" showErrorMessage="1" prompt="Circle_x000a_Triangle_x000a_X_x000a_DONE" sqref="O7:O60" xr:uid="{00000000-0002-0000-0100-000002000000}">
      <formula1>$Q$6:$Q$9</formula1>
    </dataValidation>
    <dataValidation type="list" allowBlank="1" showInputMessage="1" showErrorMessage="1" errorTitle="Invalid entry:" error="Please click &quot;Cancel&quot; and select 3, 6, or 9 from the pull-down menu." promptTitle="Impact:" prompt="The impact score is based on the impact if the negative risk event occurs (becomes 100% probability).  Choose one of the following:_x000a_3=Little impact and will not reduce FLMs_x000a_6=Significant impact but will not reduce FLMs_x000a_9=Will reduce FLMs" sqref="F7:F60" xr:uid="{00000000-0002-0000-0100-000003000000}">
      <formula1>"9,6,3"</formula1>
    </dataValidation>
  </dataValidations>
  <pageMargins left="0.78740157499999996" right="0.78740157499999996" top="0.41" bottom="0.37" header="0.37" footer="0.21"/>
  <pageSetup scale="38" orientation="landscape" r:id="rId1"/>
  <headerFooter alignWithMargins="0">
    <oddFooter>&amp;LEAGP_2-6_BU_02-F01_EN&amp;REffective Date: 12/23/2024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tabColor indexed="42"/>
  </sheetPr>
  <dimension ref="B1:N29"/>
  <sheetViews>
    <sheetView showGridLines="0" zoomScale="70" zoomScaleNormal="70" workbookViewId="0">
      <selection activeCell="C55" sqref="C55"/>
    </sheetView>
  </sheetViews>
  <sheetFormatPr defaultColWidth="11.44140625" defaultRowHeight="13.2"/>
  <cols>
    <col min="1" max="1" width="5.33203125" customWidth="1"/>
    <col min="2" max="2" width="30.88671875" customWidth="1"/>
    <col min="4" max="4" width="7.33203125" style="37" customWidth="1"/>
    <col min="5" max="5" width="10.33203125" style="37" customWidth="1"/>
    <col min="6" max="6" width="1" style="37" customWidth="1"/>
    <col min="7" max="7" width="2.88671875" style="37" customWidth="1"/>
    <col min="8" max="8" width="18.5546875" customWidth="1"/>
    <col min="9" max="9" width="2.88671875" style="37" customWidth="1"/>
    <col min="10" max="10" width="13.33203125" customWidth="1"/>
    <col min="11" max="11" width="2.88671875" customWidth="1"/>
    <col min="12" max="12" width="18.5546875" customWidth="1"/>
    <col min="13" max="13" width="2.88671875" customWidth="1"/>
  </cols>
  <sheetData>
    <row r="1" spans="2:13">
      <c r="B1" s="36"/>
    </row>
    <row r="2" spans="2:13" hidden="1">
      <c r="B2" s="36"/>
      <c r="C2" s="38" t="s">
        <v>90</v>
      </c>
    </row>
    <row r="3" spans="2:13" hidden="1">
      <c r="B3" s="36"/>
      <c r="C3" s="39" t="s">
        <v>91</v>
      </c>
    </row>
    <row r="4" spans="2:13" ht="17.399999999999999">
      <c r="B4" s="40" t="s">
        <v>92</v>
      </c>
      <c r="C4" s="41"/>
    </row>
    <row r="5" spans="2:13">
      <c r="B5" s="139" t="s">
        <v>93</v>
      </c>
      <c r="C5" s="41"/>
    </row>
    <row r="6" spans="2:13" ht="13.8" thickBot="1">
      <c r="B6" s="36"/>
      <c r="C6" s="37"/>
    </row>
    <row r="7" spans="2:13">
      <c r="B7" s="42"/>
      <c r="C7" s="43" t="s">
        <v>94</v>
      </c>
      <c r="D7" s="44"/>
    </row>
    <row r="8" spans="2:13" ht="13.8" thickBot="1">
      <c r="B8" s="45"/>
      <c r="D8" s="46"/>
    </row>
    <row r="9" spans="2:13" ht="13.8" thickBot="1">
      <c r="B9" s="47" t="s">
        <v>95</v>
      </c>
      <c r="C9" s="48" t="s">
        <v>90</v>
      </c>
      <c r="D9" s="46">
        <f>IF(C9="Green",1,0)</f>
        <v>1</v>
      </c>
    </row>
    <row r="10" spans="2:13" ht="13.8" thickBot="1">
      <c r="B10" s="49"/>
      <c r="D10" s="46"/>
      <c r="G10" s="50"/>
      <c r="H10" s="51"/>
      <c r="I10" s="44"/>
    </row>
    <row r="11" spans="2:13" ht="13.8" thickBot="1">
      <c r="B11" s="47" t="s">
        <v>96</v>
      </c>
      <c r="C11" s="48" t="s">
        <v>90</v>
      </c>
      <c r="D11" s="46">
        <f>IF(C11="Green",1,0)</f>
        <v>1</v>
      </c>
      <c r="G11" s="52"/>
      <c r="H11" s="1" t="s">
        <v>97</v>
      </c>
      <c r="I11" s="46"/>
    </row>
    <row r="12" spans="2:13" ht="13.8" thickBot="1">
      <c r="B12" s="49"/>
      <c r="D12" s="46"/>
      <c r="G12" s="52"/>
      <c r="H12" s="53">
        <f>H13</f>
        <v>5</v>
      </c>
      <c r="I12" s="54"/>
    </row>
    <row r="13" spans="2:13" ht="13.8" thickBot="1">
      <c r="B13" s="47" t="s">
        <v>98</v>
      </c>
      <c r="C13" s="48" t="s">
        <v>90</v>
      </c>
      <c r="D13" s="46">
        <f>IF(C13="Green",1,0)</f>
        <v>1</v>
      </c>
      <c r="G13" s="52"/>
      <c r="H13" s="55">
        <f>SUM(D9:D17)</f>
        <v>5</v>
      </c>
      <c r="I13" s="46">
        <f>IF(H13=5,1,0)</f>
        <v>1</v>
      </c>
      <c r="K13" s="37"/>
    </row>
    <row r="14" spans="2:13" ht="13.8" thickBot="1">
      <c r="B14" s="49"/>
      <c r="D14" s="46"/>
      <c r="G14" s="52"/>
      <c r="I14" s="46"/>
      <c r="K14" s="37"/>
    </row>
    <row r="15" spans="2:13" ht="13.8" thickBot="1">
      <c r="B15" s="47" t="s">
        <v>99</v>
      </c>
      <c r="C15" s="48" t="s">
        <v>90</v>
      </c>
      <c r="D15" s="46">
        <f>IF(C15="Green",1,0)</f>
        <v>1</v>
      </c>
      <c r="G15" s="56"/>
      <c r="H15" s="57"/>
      <c r="I15" s="58"/>
      <c r="K15" s="37"/>
    </row>
    <row r="16" spans="2:13" ht="13.8" thickBot="1">
      <c r="B16" s="47"/>
      <c r="C16" s="57"/>
      <c r="D16" s="46"/>
      <c r="K16" s="50"/>
      <c r="L16" s="51"/>
      <c r="M16" s="59"/>
    </row>
    <row r="17" spans="2:14" ht="13.8" thickBot="1">
      <c r="B17" s="47" t="s">
        <v>100</v>
      </c>
      <c r="C17" s="48" t="s">
        <v>90</v>
      </c>
      <c r="D17" s="46">
        <f>IF(C17="Green",1,0)</f>
        <v>1</v>
      </c>
      <c r="K17" s="52"/>
      <c r="L17" s="1" t="s">
        <v>101</v>
      </c>
      <c r="M17" s="60"/>
    </row>
    <row r="18" spans="2:14" ht="13.8" thickBot="1">
      <c r="B18" s="61"/>
      <c r="C18" s="57"/>
      <c r="D18" s="58"/>
      <c r="K18" s="52"/>
      <c r="L18" s="53">
        <f>L19</f>
        <v>2</v>
      </c>
      <c r="M18" s="60"/>
    </row>
    <row r="19" spans="2:14" ht="13.8" thickBot="1">
      <c r="B19" s="62"/>
      <c r="K19" s="52"/>
      <c r="L19" s="55">
        <f>SUM(I12:I25)</f>
        <v>2</v>
      </c>
      <c r="M19" s="60"/>
    </row>
    <row r="20" spans="2:14">
      <c r="B20" s="63"/>
      <c r="C20" s="43" t="s">
        <v>94</v>
      </c>
      <c r="D20" s="44"/>
      <c r="K20" s="52"/>
      <c r="L20" s="37">
        <f>L19</f>
        <v>2</v>
      </c>
      <c r="M20" s="60"/>
    </row>
    <row r="21" spans="2:14" ht="13.8" thickBot="1">
      <c r="B21" s="49"/>
      <c r="D21" s="46"/>
      <c r="K21" s="56"/>
      <c r="L21" s="57"/>
      <c r="M21" s="64"/>
    </row>
    <row r="22" spans="2:14" ht="13.8" thickBot="1">
      <c r="B22" s="49" t="s">
        <v>102</v>
      </c>
      <c r="C22" s="48" t="s">
        <v>90</v>
      </c>
      <c r="D22" s="46">
        <f>IF(C22="Green",1,0)</f>
        <v>1</v>
      </c>
      <c r="G22" s="50"/>
      <c r="H22" s="51"/>
      <c r="I22" s="44"/>
      <c r="K22" s="37"/>
    </row>
    <row r="23" spans="2:14" ht="13.8" thickBot="1">
      <c r="B23" s="49"/>
      <c r="D23" s="54"/>
      <c r="G23" s="52"/>
      <c r="H23" s="1" t="s">
        <v>103</v>
      </c>
      <c r="I23" s="46"/>
    </row>
    <row r="24" spans="2:14" ht="13.8" thickBot="1">
      <c r="B24" s="47" t="s">
        <v>104</v>
      </c>
      <c r="C24" s="48" t="s">
        <v>90</v>
      </c>
      <c r="D24" s="46">
        <f>IF(C24="Green",1,0)</f>
        <v>1</v>
      </c>
      <c r="G24" s="52"/>
      <c r="H24" s="53">
        <f>H25</f>
        <v>4</v>
      </c>
      <c r="I24" s="54"/>
    </row>
    <row r="25" spans="2:14" ht="13.8" thickBot="1">
      <c r="B25" s="49"/>
      <c r="D25" s="54"/>
      <c r="G25" s="52"/>
      <c r="H25" s="55">
        <f>SUM(D20:D28)</f>
        <v>4</v>
      </c>
      <c r="I25" s="46">
        <f>IF(H25=4,1,0)</f>
        <v>1</v>
      </c>
      <c r="N25" s="46"/>
    </row>
    <row r="26" spans="2:14" ht="13.8" thickBot="1">
      <c r="B26" s="47" t="s">
        <v>105</v>
      </c>
      <c r="C26" s="48" t="s">
        <v>90</v>
      </c>
      <c r="D26" s="46">
        <f>IF(C26="Green",1,0)</f>
        <v>1</v>
      </c>
      <c r="G26" s="52"/>
      <c r="I26" s="46"/>
    </row>
    <row r="27" spans="2:14" ht="13.8" thickBot="1">
      <c r="B27" s="49"/>
      <c r="D27" s="54"/>
      <c r="G27" s="56"/>
      <c r="H27" s="57"/>
      <c r="I27" s="58"/>
    </row>
    <row r="28" spans="2:14" ht="13.8" thickBot="1">
      <c r="B28" s="47" t="s">
        <v>106</v>
      </c>
      <c r="C28" s="48" t="s">
        <v>90</v>
      </c>
      <c r="D28" s="46">
        <f>IF(C28="Green",1,0)</f>
        <v>1</v>
      </c>
    </row>
    <row r="29" spans="2:14" ht="13.8" thickBot="1">
      <c r="B29" s="61"/>
      <c r="C29" s="57"/>
      <c r="D29" s="65"/>
    </row>
  </sheetData>
  <sheetProtection selectLockedCells="1"/>
  <phoneticPr fontId="13" type="noConversion"/>
  <conditionalFormatting sqref="C9 C11 C13 C15:C17 C19 C22 C24 C26 C28">
    <cfRule type="cellIs" dxfId="7" priority="1" stopIfTrue="1" operator="equal">
      <formula>"Green"</formula>
    </cfRule>
    <cfRule type="cellIs" dxfId="6" priority="2" stopIfTrue="1" operator="equal">
      <formula>"Red"</formula>
    </cfRule>
  </conditionalFormatting>
  <conditionalFormatting sqref="H12:H13">
    <cfRule type="cellIs" dxfId="5" priority="5" stopIfTrue="1" operator="lessThan">
      <formula>5</formula>
    </cfRule>
    <cfRule type="cellIs" dxfId="4" priority="6" stopIfTrue="1" operator="equal">
      <formula>5</formula>
    </cfRule>
  </conditionalFormatting>
  <conditionalFormatting sqref="H24:H25">
    <cfRule type="cellIs" dxfId="3" priority="7" stopIfTrue="1" operator="lessThan">
      <formula>4</formula>
    </cfRule>
    <cfRule type="cellIs" dxfId="2" priority="8" stopIfTrue="1" operator="equal">
      <formula>4</formula>
    </cfRule>
  </conditionalFormatting>
  <conditionalFormatting sqref="L18:L19">
    <cfRule type="cellIs" dxfId="1" priority="3" stopIfTrue="1" operator="lessThan">
      <formula>2</formula>
    </cfRule>
    <cfRule type="cellIs" dxfId="0" priority="4" stopIfTrue="1" operator="equal">
      <formula>2</formula>
    </cfRule>
  </conditionalFormatting>
  <dataValidations disablePrompts="1" count="1">
    <dataValidation type="list" allowBlank="1" showInputMessage="1" showErrorMessage="1" sqref="C9:C17 C19 C22:C28" xr:uid="{00000000-0002-0000-0200-000000000000}">
      <formula1>$C$2:$C$3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1" orientation="landscape" r:id="rId1"/>
  <headerFooter alignWithMargins="0">
    <oddFooter>&amp;LEAGP_2-6_BU_02-F01_EN&amp;REffective Date: 12/23/2024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36092b-8ec2-40bd-b469-d1fe4f1e7785">
      <Value>101</Value>
      <Value>115</Value>
      <Value>46</Value>
      <Value>45</Value>
      <Value>108</Value>
      <Value>5</Value>
      <Value>429</Value>
      <Value>3</Value>
      <Value>2</Value>
      <Value>35</Value>
      <Value>34</Value>
    </TaxCatchAll>
    <Replaces xmlns="c308d7af-8d34-4105-8a9f-128cf31d995c" xsi:nil="true"/>
    <NeedsReprocessing xmlns="d7ad00f7-eb1f-49e9-a898-20fd00e2134b">false</NeedsReprocessing>
    <m3e5d886d5834254918a02334e296b76 xmlns="c308d7af-8d34-4105-8a9f-128cf31d995c">
      <Terms xmlns="http://schemas.microsoft.com/office/infopath/2007/PartnerControls"/>
    </m3e5d886d5834254918a02334e296b76>
    <k9a925d7be4c452281f764c8b8b1b3f3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Business Unit</TermName>
          <TermId xmlns="http://schemas.microsoft.com/office/infopath/2007/PartnerControls">fe108483-2460-47bb-8b39-e248ce1a2b48</TermId>
        </TermInfo>
      </Terms>
    </k9a925d7be4c452281f764c8b8b1b3f3>
    <SecondaryDocSeriesNum xmlns="c308d7af-8d34-4105-8a9f-128cf31d995c" xsi:nil="true"/>
    <b91eb8078c9543538bce35d45c081f79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Global</TermName>
          <TermId xmlns="http://schemas.microsoft.com/office/infopath/2007/PartnerControls">69131ddd-08f9-4e82-a493-4c385ab63c3d</TermId>
        </TermInfo>
      </Terms>
    </b91eb8078c9543538bce35d45c081f79>
    <f2da7fc86df14e80848c715a582a09fc xmlns="c308d7af-8d34-4105-8a9f-128cf31d995c">
      <Terms xmlns="http://schemas.microsoft.com/office/infopath/2007/PartnerControls"/>
    </f2da7fc86df14e80848c715a582a09fc>
    <EffectiveDate xmlns="c308d7af-8d34-4105-8a9f-128cf31d995c">2024-12-23T05:00:00+00:00</EffectiveDate>
    <m65c1b3ed9cd4a9daeead227122b534d xmlns="c308d7af-8d34-4105-8a9f-128cf31d995c">
      <Terms xmlns="http://schemas.microsoft.com/office/infopath/2007/PartnerControls"/>
    </m65c1b3ed9cd4a9daeead227122b534d>
    <DocumentOwner xmlns="c308d7af-8d34-4105-8a9f-128cf31d995c">
      <UserInfo>
        <DisplayName>Figueiredo, Luis</DisplayName>
        <AccountId>8297</AccountId>
        <AccountType/>
      </UserInfo>
    </DocumentOwner>
    <EOSDocNum xmlns="c308d7af-8d34-4105-8a9f-128cf31d995c">EAGP_2-6_BU_02-F01_EN</EOSDocNum>
    <h2fe4d1c038e45e8889eb5b7cd50c800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</TermName>
          <TermId xmlns="http://schemas.microsoft.com/office/infopath/2007/PartnerControls">45cd7a66-ea26-4d71-8c03-f3501efc00cb</TermId>
        </TermInfo>
      </Terms>
    </h2fe4d1c038e45e8889eb5b7cd50c800>
    <iaa644f6615246ffac384ba389ed9d22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Global</TermName>
          <TermId xmlns="http://schemas.microsoft.com/office/infopath/2007/PartnerControls">69131ddd-08f9-4e82-a493-4c385ab63c3d</TermId>
        </TermInfo>
      </Terms>
    </iaa644f6615246ffac384ba389ed9d22>
    <OptionalIdentifier xmlns="c308d7af-8d34-4105-8a9f-128cf31d995c" xsi:nil="true"/>
    <PrimaryDocSeriesNum xmlns="c308d7af-8d34-4105-8a9f-128cf31d995c">02</PrimaryDocSeriesNum>
    <he11d22bca4f4dd7a936424bc304e998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S＆PS</TermName>
          <TermId xmlns="http://schemas.microsoft.com/office/infopath/2007/PartnerControls">40978b63-ad8c-4cb8-9bea-75e613fea672</TermId>
        </TermInfo>
      </Terms>
    </he11d22bca4f4dd7a936424bc304e998>
    <f8d7a6658cea4a10a51d8a3a11a6b803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Business Unit</TermName>
          <TermId xmlns="http://schemas.microsoft.com/office/infopath/2007/PartnerControls">fe108483-2460-47bb-8b39-e248ce1a2b48</TermId>
        </TermInfo>
        <TermInfo xmlns="http://schemas.microsoft.com/office/infopath/2007/PartnerControls">
          <TermName xmlns="http://schemas.microsoft.com/office/infopath/2007/PartnerControls">Finance</TermName>
          <TermId xmlns="http://schemas.microsoft.com/office/infopath/2007/PartnerControls">35e5b642-b681-4b74-a502-58545f1af060</TermId>
        </TermInfo>
        <TermInfo xmlns="http://schemas.microsoft.com/office/infopath/2007/PartnerControls">
          <TermName xmlns="http://schemas.microsoft.com/office/infopath/2007/PartnerControls">Sales</TermName>
          <TermId xmlns="http://schemas.microsoft.com/office/infopath/2007/PartnerControls">1b63424f-4a3e-48e5-84ca-aace4cce5a5c</TermId>
        </TermInfo>
      </Terms>
    </f8d7a6658cea4a10a51d8a3a11a6b803>
    <ndde19fd7ef1483493a8f1c53b1b6b1a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2-6 Communicate and Execute the Business Plans</TermName>
          <TermId xmlns="http://schemas.microsoft.com/office/infopath/2007/PartnerControls">85f77961-973b-4a06-b581-97a5ec5d740a</TermId>
        </TermInfo>
      </Terms>
    </ndde19fd7ef1483493a8f1c53b1b6b1a>
    <b936ac81c11149c28abe10623a36d336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EDS</TermName>
          <TermId xmlns="http://schemas.microsoft.com/office/infopath/2007/PartnerControls">98e3e8fc-7860-4c9e-9fef-8587d7363aa4</TermId>
        </TermInfo>
      </Terms>
    </b936ac81c11149c28abe10623a36d336>
    <ffb72c8aeb3f421fb176c6fc08d2cbe9 xmlns="c308d7af-8d34-4105-8a9f-128cf31d995c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English</TermName>
          <TermId xmlns="http://schemas.microsoft.com/office/infopath/2007/PartnerControls">0f869863-28c5-4bad-88f4-5e957fc1fedc</TermId>
        </TermInfo>
      </Terms>
    </ffb72c8aeb3f421fb176c6fc08d2cbe9>
    <DocumentController xmlns="c308d7af-8d34-4105-8a9f-128cf31d995c">
      <UserInfo>
        <DisplayName>Dragoi, Alina</DisplayName>
        <AccountId>33</AccountId>
        <AccountType/>
      </UserInfo>
    </DocumentController>
    <ObsoleteDate xmlns="c308d7af-8d34-4105-8a9f-128cf31d995c" xsi:nil="true"/>
    <ReplacedBy xmlns="c308d7af-8d34-4105-8a9f-128cf31d995c" xsi:nil="true"/>
    <DocumentState xmlns="c308d7af-8d34-4105-8a9f-128cf31d995c">Released</DocumentState>
    <ApprovalDate xmlns="c308d7af-8d34-4105-8a9f-128cf31d995c">2024-11-25T05:00:00+00:00</ApprovalDate>
    <DCRInfo xmlns="c308d7af-8d34-4105-8a9f-128cf31d995c">2619</DCRInfo>
    <ChildDocNum xmlns="c308d7af-8d34-4105-8a9f-128cf31d995c">F01</ChildDocNum>
    <i07f8e2dc724467c88034e42fb6bf3df xmlns="d7ad00f7-eb1f-49e9-a898-20fd00e2134b">
      <Terms xmlns="http://schemas.microsoft.com/office/infopath/2007/PartnerControls"/>
    </i07f8e2dc724467c88034e42fb6bf3df>
    <ka0759a5942f41c695b775aef8208f3e xmlns="0c36092b-8ec2-40bd-b469-d1fe4f1e7785">
      <Terms xmlns="http://schemas.microsoft.com/office/infopath/2007/PartnerControls">
        <TermInfo xmlns="http://schemas.microsoft.com/office/infopath/2007/PartnerControls">
          <TermName xmlns="http://schemas.microsoft.com/office/infopath/2007/PartnerControls">Global Operations</TermName>
          <TermId xmlns="http://schemas.microsoft.com/office/infopath/2007/PartnerControls">af9a3bb6-63fb-4dd4-b1ba-e4f35fd1ac20</TermId>
        </TermInfo>
      </Terms>
    </ka0759a5942f41c695b775aef8208f3e>
    <le32960acc2343b2a783ebfbeb256c3d xmlns="0c36092b-8ec2-40bd-b469-d1fe4f1e7785">
      <Terms xmlns="http://schemas.microsoft.com/office/infopath/2007/PartnerControls"/>
    </le32960acc2343b2a783ebfbeb256c3d>
    <fddf08f74f1e4eb0b4a866c10db37afa xmlns="0c36092b-8ec2-40bd-b469-d1fe4f1e7785">
      <Terms xmlns="http://schemas.microsoft.com/office/infopath/2007/PartnerControls">
        <TermInfo xmlns="http://schemas.microsoft.com/office/infopath/2007/PartnerControls">
          <TermName xmlns="http://schemas.microsoft.com/office/infopath/2007/PartnerControls">Packard Electrical/Electronic</TermName>
          <TermId xmlns="http://schemas.microsoft.com/office/infopath/2007/PartnerControls">da46e7e5-ad49-473d-9234-e823ca83de29</TermId>
        </TermInfo>
      </Terms>
    </fddf08f74f1e4eb0b4a866c10db37afa>
    <TaxCatchAllLabel xmlns="0c36092b-8ec2-40bd-b469-d1fe4f1e7785" xsi:nil="true"/>
    <SharedWithUsers xmlns="c308d7af-8d34-4105-8a9f-128cf31d995c">
      <UserInfo>
        <DisplayName>Ameziane, Rajae Hassani</DisplayName>
        <AccountId>960</AccountId>
        <AccountType/>
      </UserInfo>
    </SharedWithUsers>
    <Last_x0020_Reviewed xmlns="d7ad00f7-eb1f-49e9-a898-20fd00e2134b">2024-12-02T05:00:00+00:00</Last_x0020_Reviewed>
  </documentManagement>
</p:properties>
</file>

<file path=customXml/item3.xml><?xml version="1.0" encoding="utf-8"?>
<?mso-contentType ?>
<SharedContentType xmlns="Microsoft.SharePoint.Taxonomy.ContentTypeSync" SourceId="9f8ee6ba-22ae-4b18-a96b-b6990d3e2b67" ContentTypeId="0x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EOS Document" ma:contentTypeID="0x010100D1D3186A8B59604F90124F3B9C63333C008C7C7C2BCEAECD42A4292251E1C1C1D5" ma:contentTypeVersion="97" ma:contentTypeDescription="" ma:contentTypeScope="" ma:versionID="6c94af7b18803b97a8f64143f08e1564">
  <xsd:schema xmlns:xsd="http://www.w3.org/2001/XMLSchema" xmlns:xs="http://www.w3.org/2001/XMLSchema" xmlns:p="http://schemas.microsoft.com/office/2006/metadata/properties" xmlns:ns2="c308d7af-8d34-4105-8a9f-128cf31d995c" xmlns:ns3="d7ad00f7-eb1f-49e9-a898-20fd00e2134b" xmlns:ns4="0c36092b-8ec2-40bd-b469-d1fe4f1e7785" targetNamespace="http://schemas.microsoft.com/office/2006/metadata/properties" ma:root="true" ma:fieldsID="7c4185f0d10810158945b7c7d81b9cba" ns2:_="" ns3:_="" ns4:_="">
    <xsd:import namespace="c308d7af-8d34-4105-8a9f-128cf31d995c"/>
    <xsd:import namespace="d7ad00f7-eb1f-49e9-a898-20fd00e2134b"/>
    <xsd:import namespace="0c36092b-8ec2-40bd-b469-d1fe4f1e7785"/>
    <xsd:element name="properties">
      <xsd:complexType>
        <xsd:sequence>
          <xsd:element name="documentManagement">
            <xsd:complexType>
              <xsd:all>
                <xsd:element ref="ns2:OptionalIdentifier" minOccurs="0"/>
                <xsd:element ref="ns2:PrimaryDocSeriesNum" minOccurs="0"/>
                <xsd:element ref="ns2:SecondaryDocSeriesNum" minOccurs="0"/>
                <xsd:element ref="ns2:ChildDocNum" minOccurs="0"/>
                <xsd:element ref="ns2:DocumentState"/>
                <xsd:element ref="ns2:ApprovalDate" minOccurs="0"/>
                <xsd:element ref="ns2:EffectiveDate"/>
                <xsd:element ref="ns2:ObsoleteDate" minOccurs="0"/>
                <xsd:element ref="ns2:DocumentOwner"/>
                <xsd:element ref="ns2:DocumentController"/>
                <xsd:element ref="ns2:ReplacedBy" minOccurs="0"/>
                <xsd:element ref="ns2:Replaces" minOccurs="0"/>
                <xsd:element ref="ns2:DCRInfo" minOccurs="0"/>
                <xsd:element ref="ns2:EOSDocNum" minOccurs="0"/>
                <xsd:element ref="ns3:NeedsReprocessing" minOccurs="0"/>
                <xsd:element ref="ns4:TaxCatchAll" minOccurs="0"/>
                <xsd:element ref="ns2:b936ac81c11149c28abe10623a36d336" minOccurs="0"/>
                <xsd:element ref="ns2:b91eb8078c9543538bce35d45c081f79" minOccurs="0"/>
                <xsd:element ref="ns2:f8d7a6658cea4a10a51d8a3a11a6b803" minOccurs="0"/>
                <xsd:element ref="ns2:m65c1b3ed9cd4a9daeead227122b534d" minOccurs="0"/>
                <xsd:element ref="ns2:k9a925d7be4c452281f764c8b8b1b3f3" minOccurs="0"/>
                <xsd:element ref="ns2:ndde19fd7ef1483493a8f1c53b1b6b1a" minOccurs="0"/>
                <xsd:element ref="ns2:h2fe4d1c038e45e8889eb5b7cd50c800" minOccurs="0"/>
                <xsd:element ref="ns2:iaa644f6615246ffac384ba389ed9d22" minOccurs="0"/>
                <xsd:element ref="ns2:he11d22bca4f4dd7a936424bc304e998" minOccurs="0"/>
                <xsd:element ref="ns2:f2da7fc86df14e80848c715a582a09fc" minOccurs="0"/>
                <xsd:element ref="ns2:m3e5d886d5834254918a02334e296b76" minOccurs="0"/>
                <xsd:element ref="ns4:TaxCatchAllLabel" minOccurs="0"/>
                <xsd:element ref="ns2:ffb72c8aeb3f421fb176c6fc08d2cbe9" minOccurs="0"/>
                <xsd:element ref="ns4:fddf08f74f1e4eb0b4a866c10db37afa" minOccurs="0"/>
                <xsd:element ref="ns4:ka0759a5942f41c695b775aef8208f3e" minOccurs="0"/>
                <xsd:element ref="ns4:le32960acc2343b2a783ebfbeb256c3d" minOccurs="0"/>
                <xsd:element ref="ns3:i07f8e2dc724467c88034e42fb6bf3df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2:SharedWithUsers" minOccurs="0"/>
                <xsd:element ref="ns2:SharedWithDetails" minOccurs="0"/>
                <xsd:element ref="ns3:Last_x0020_Reviewed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8d7af-8d34-4105-8a9f-128cf31d995c" elementFormDefault="qualified">
    <xsd:import namespace="http://schemas.microsoft.com/office/2006/documentManagement/types"/>
    <xsd:import namespace="http://schemas.microsoft.com/office/infopath/2007/PartnerControls"/>
    <xsd:element name="OptionalIdentifier" ma:index="5" nillable="true" ma:displayName="Optional Identifier" ma:description="This Optional THREE Character Designation may be used to identify a Specific Area within a Function.  Ex: Plant 10 = P10" ma:internalName="OptionalIdentifier" ma:readOnly="false">
      <xsd:simpleType>
        <xsd:restriction base="dms:Text">
          <xsd:maxLength value="3"/>
        </xsd:restriction>
      </xsd:simpleType>
    </xsd:element>
    <xsd:element name="PrimaryDocSeriesNum" ma:index="11" nillable="true" ma:displayName="Primary Document Series Number" ma:internalName="PrimaryDocSeriesNum" ma:readOnly="false">
      <xsd:simpleType>
        <xsd:restriction base="dms:Text">
          <xsd:maxLength value="255"/>
        </xsd:restriction>
      </xsd:simpleType>
    </xsd:element>
    <xsd:element name="SecondaryDocSeriesNum" ma:index="12" nillable="true" ma:displayName="Secondary Document Series Number" ma:internalName="SecondaryDocSeriesNum" ma:readOnly="false">
      <xsd:simpleType>
        <xsd:restriction base="dms:Text">
          <xsd:maxLength value="255"/>
        </xsd:restriction>
      </xsd:simpleType>
    </xsd:element>
    <xsd:element name="ChildDocNum" ma:index="13" nillable="true" ma:displayName="Child Document and Number" ma:internalName="ChildDocNum" ma:readOnly="false">
      <xsd:simpleType>
        <xsd:restriction base="dms:Text">
          <xsd:maxLength value="255"/>
        </xsd:restriction>
      </xsd:simpleType>
    </xsd:element>
    <xsd:element name="DocumentState" ma:index="16" ma:displayName="Document State" ma:default="Released" ma:format="Dropdown" ma:indexed="true" ma:internalName="DocumentState" ma:readOnly="false">
      <xsd:simpleType>
        <xsd:restriction base="dms:Choice">
          <xsd:enumeration value="Released"/>
          <xsd:enumeration value="Obsolete"/>
        </xsd:restriction>
      </xsd:simpleType>
    </xsd:element>
    <xsd:element name="ApprovalDate" ma:index="17" nillable="true" ma:displayName="Approval Date" ma:default="[today]" ma:format="DateOnly" ma:indexed="true" ma:internalName="ApprovalDate" ma:readOnly="false">
      <xsd:simpleType>
        <xsd:restriction base="dms:DateTime"/>
      </xsd:simpleType>
    </xsd:element>
    <xsd:element name="EffectiveDate" ma:index="18" ma:displayName="Effective Date" ma:format="DateOnly" ma:indexed="true" ma:internalName="EffectiveDate" ma:readOnly="false">
      <xsd:simpleType>
        <xsd:restriction base="dms:DateTime"/>
      </xsd:simpleType>
    </xsd:element>
    <xsd:element name="ObsoleteDate" ma:index="19" nillable="true" ma:displayName="Obsolete Date" ma:format="DateOnly" ma:internalName="ObsoleteDate" ma:readOnly="false">
      <xsd:simpleType>
        <xsd:restriction base="dms:DateTime"/>
      </xsd:simpleType>
    </xsd:element>
    <xsd:element name="DocumentOwner" ma:index="20" ma:displayName="Document Owner" ma:indexed="true" ma:list="UserInfo" ma:SharePointGroup="0" ma:internalName="DocumentOwn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ocumentController" ma:index="21" ma:displayName="Document Controller" ma:indexed="true" ma:list="UserInfo" ma:SharePointGroup="0" ma:internalName="DocumentControll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lacedBy" ma:index="22" nillable="true" ma:displayName="Replaced By" ma:internalName="ReplacedBy" ma:readOnly="false">
      <xsd:simpleType>
        <xsd:restriction base="dms:Text">
          <xsd:maxLength value="255"/>
        </xsd:restriction>
      </xsd:simpleType>
    </xsd:element>
    <xsd:element name="Replaces" ma:index="23" nillable="true" ma:displayName="Replaces" ma:internalName="Replaces" ma:readOnly="false">
      <xsd:simpleType>
        <xsd:restriction base="dms:Text">
          <xsd:maxLength value="255"/>
        </xsd:restriction>
      </xsd:simpleType>
    </xsd:element>
    <xsd:element name="DCRInfo" ma:index="24" nillable="true" ma:displayName="DCR Information" ma:internalName="DCRInfo" ma:readOnly="false">
      <xsd:simpleType>
        <xsd:restriction base="dms:Text">
          <xsd:maxLength value="255"/>
        </xsd:restriction>
      </xsd:simpleType>
    </xsd:element>
    <xsd:element name="EOSDocNum" ma:index="25" nillable="true" ma:displayName="EOS Document Number" ma:internalName="EOSDocNum" ma:readOnly="false">
      <xsd:simpleType>
        <xsd:restriction base="dms:Text">
          <xsd:maxLength value="255"/>
        </xsd:restriction>
      </xsd:simpleType>
    </xsd:element>
    <xsd:element name="b936ac81c11149c28abe10623a36d336" ma:index="33" ma:taxonomy="true" ma:internalName="b936ac81c11149c28abe10623a36d336" ma:taxonomyFieldName="PBU" ma:displayName="Business Unit" ma:readOnly="false" ma:default="" ma:fieldId="{b936ac81-c111-49c2-8abe-10623a36d336}" ma:taxonomyMulti="true" ma:sspId="9f8ee6ba-22ae-4b18-a96b-b6990d3e2b67" ma:termSetId="cac45e59-285a-4c47-89ac-50a992ae684f" ma:anchorId="40978b63-ad8c-4cb8-9bea-75e613fea672" ma:open="false" ma:isKeyword="false">
      <xsd:complexType>
        <xsd:sequence>
          <xsd:element ref="pc:Terms" minOccurs="0" maxOccurs="1"/>
        </xsd:sequence>
      </xsd:complexType>
    </xsd:element>
    <xsd:element name="b91eb8078c9543538bce35d45c081f79" ma:index="34" ma:taxonomy="true" ma:internalName="b91eb8078c9543538bce35d45c081f79" ma:taxonomyFieldName="Region" ma:displayName="Region" ma:readOnly="false" ma:default="2;#Global|69131ddd-08f9-4e82-a493-4c385ab63c3d" ma:fieldId="{b91eb807-8c95-4353-8bce-35d45c081f79}" ma:taxonomyMulti="true" ma:sspId="9f8ee6ba-22ae-4b18-a96b-b6990d3e2b67" ma:termSetId="0c0e7ef1-ec70-42ae-89ef-3ca7fab665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8d7a6658cea4a10a51d8a3a11a6b803" ma:index="35" ma:taxonomy="true" ma:internalName="f8d7a6658cea4a10a51d8a3a11a6b803" ma:taxonomyFieldName="SwimlaneParticipant" ma:displayName="Swimlane - Participants" ma:readOnly="false" ma:default="" ma:fieldId="{f8d7a665-8cea-4a10-a51d-8a3a11a6b803}" ma:taxonomyMulti="true" ma:sspId="9f8ee6ba-22ae-4b18-a96b-b6990d3e2b67" ma:termSetId="cac45e59-285a-4c47-89ac-50a992ae684f" ma:anchorId="3ac7a09e-b76c-4088-903b-3177ee397169" ma:open="false" ma:isKeyword="false">
      <xsd:complexType>
        <xsd:sequence>
          <xsd:element ref="pc:Terms" minOccurs="0" maxOccurs="1"/>
        </xsd:sequence>
      </xsd:complexType>
    </xsd:element>
    <xsd:element name="m65c1b3ed9cd4a9daeead227122b534d" ma:index="36" nillable="true" ma:taxonomy="true" ma:internalName="m65c1b3ed9cd4a9daeead227122b534d" ma:taxonomyFieldName="StakeholderBank" ma:displayName="Stakeholder or Bank" ma:indexed="true" ma:readOnly="false" ma:default="" ma:fieldId="{665c1b3e-d9cd-4a9d-aeea-d227122b534d}" ma:sspId="9f8ee6ba-22ae-4b18-a96b-b6990d3e2b67" ma:termSetId="572bda01-e1b0-495c-933b-d01413b8721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9a925d7be4c452281f764c8b8b1b3f3" ma:index="37" ma:taxonomy="true" ma:internalName="k9a925d7be4c452281f764c8b8b1b3f3" ma:taxonomyFieldName="SwimlaneDO" ma:displayName="Swimlane - Document Owner" ma:indexed="true" ma:readOnly="false" ma:default="" ma:fieldId="{49a925d7-be4c-4522-81f7-64c8b8b1b3f3}" ma:sspId="9f8ee6ba-22ae-4b18-a96b-b6990d3e2b67" ma:termSetId="cac45e59-285a-4c47-89ac-50a992ae684f" ma:anchorId="3ac7a09e-b76c-4088-903b-3177ee397169" ma:open="false" ma:isKeyword="false">
      <xsd:complexType>
        <xsd:sequence>
          <xsd:element ref="pc:Terms" minOccurs="0" maxOccurs="1"/>
        </xsd:sequence>
      </xsd:complexType>
    </xsd:element>
    <xsd:element name="ndde19fd7ef1483493a8f1c53b1b6b1a" ma:index="38" ma:taxonomy="true" ma:internalName="ndde19fd7ef1483493a8f1c53b1b6b1a" ma:taxonomyFieldName="FlowPipe" ma:displayName="Flow &amp; Pipe" ma:indexed="true" ma:readOnly="false" ma:default="" ma:fieldId="{7dde19fd-7ef1-4834-93a8-f1c53b1b6b1a}" ma:sspId="9f8ee6ba-22ae-4b18-a96b-b6990d3e2b67" ma:termSetId="9abfc8cf-c748-47f6-9e73-fa499e1ded3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2fe4d1c038e45e8889eb5b7cd50c800" ma:index="39" nillable="true" ma:taxonomy="true" ma:internalName="h2fe4d1c038e45e8889eb5b7cd50c800" ma:taxonomyFieldName="DocumentType" ma:displayName="Document Type" ma:indexed="true" ma:readOnly="false" ma:default="" ma:fieldId="{12fe4d1c-038e-45e8-889e-b5b7cd50c800}" ma:sspId="9f8ee6ba-22ae-4b18-a96b-b6990d3e2b67" ma:termSetId="7985808b-297d-4325-9d6c-6b8ba11487f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aa644f6615246ffac384ba389ed9d22" ma:index="40" nillable="true" ma:taxonomy="true" ma:internalName="iaa644f6615246ffac384ba389ed9d22" ma:taxonomyFieldName="RegionalIdentifier" ma:displayName="Regional Identifier" ma:readOnly="false" ma:default="" ma:fieldId="{2aa644f6-6152-46ff-ac38-4ba389ed9d22}" ma:sspId="9f8ee6ba-22ae-4b18-a96b-b6990d3e2b67" ma:termSetId="0c0e7ef1-ec70-42ae-89ef-3ca7fab665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e11d22bca4f4dd7a936424bc304e998" ma:index="42" nillable="true" ma:taxonomy="true" ma:internalName="he11d22bca4f4dd7a936424bc304e998" ma:taxonomyFieldName="Division" ma:displayName="Division" ma:readOnly="false" ma:default="" ma:fieldId="{1e11d22b-ca4f-4dd7-a936-424bc304e998}" ma:sspId="9f8ee6ba-22ae-4b18-a96b-b6990d3e2b67" ma:termSetId="cac45e59-285a-4c47-89ac-50a992ae684f" ma:anchorId="42f6875b-cdc2-422c-b177-7dc4ff57190f" ma:open="false" ma:isKeyword="false">
      <xsd:complexType>
        <xsd:sequence>
          <xsd:element ref="pc:Terms" minOccurs="0" maxOccurs="1"/>
        </xsd:sequence>
      </xsd:complexType>
    </xsd:element>
    <xsd:element name="f2da7fc86df14e80848c715a582a09fc" ma:index="43" nillable="true" ma:taxonomy="true" ma:internalName="f2da7fc86df14e80848c715a582a09fc" ma:taxonomyFieldName="AppliesTo" ma:displayName="Applies To" ma:indexed="true" ma:readOnly="false" ma:default="4;#Electrical/Electronic Architecture|d29f3057-ceed-4c2b-8e04-cc67c851821f" ma:fieldId="{f2da7fc8-6df1-4e80-848c-715a582a09fc}" ma:sspId="9f8ee6ba-22ae-4b18-a96b-b6990d3e2b67" ma:termSetId="980b08b5-83a7-482e-a97a-c2bbc2baba7e" ma:anchorId="0374b421-8714-4188-adb6-b676266e31f5" ma:open="false" ma:isKeyword="false">
      <xsd:complexType>
        <xsd:sequence>
          <xsd:element ref="pc:Terms" minOccurs="0" maxOccurs="1"/>
        </xsd:sequence>
      </xsd:complexType>
    </xsd:element>
    <xsd:element name="m3e5d886d5834254918a02334e296b76" ma:index="44" nillable="true" ma:taxonomy="true" ma:internalName="m3e5d886d5834254918a02334e296b76" ma:taxonomyFieldName="emm_SiteName" ma:displayName="emm_SiteName" ma:readOnly="false" ma:default="11;#EOS Packard|ca96d14a-e0df-4472-85a8-f5588353657c" ma:fieldId="{63e5d886-d583-4254-918a-02334e296b76}" ma:sspId="9f8ee6ba-22ae-4b18-a96b-b6990d3e2b67" ma:termSetId="f71672fd-a586-4354-b730-108af30ebf1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fb72c8aeb3f421fb176c6fc08d2cbe9" ma:index="48" ma:taxonomy="true" ma:internalName="ffb72c8aeb3f421fb176c6fc08d2cbe9" ma:taxonomyFieldName="EOSLanguage" ma:displayName="EOS Language" ma:indexed="true" ma:readOnly="false" ma:default="3;#English|0f869863-28c5-4bad-88f4-5e957fc1fedc" ma:fieldId="{ffb72c8a-eb3f-421f-b176-c6fc08d2cbe9}" ma:sspId="9f8ee6ba-22ae-4b18-a96b-b6990d3e2b67" ma:termSetId="51caa2fe-2100-4465-98b3-f767ccc42497" ma:anchorId="c865fae2-6ccc-4818-8a02-1baae675c8fe" ma:open="false" ma:isKeyword="false">
      <xsd:complexType>
        <xsd:sequence>
          <xsd:element ref="pc:Terms" minOccurs="0" maxOccurs="1"/>
        </xsd:sequence>
      </xsd:complexType>
    </xsd:element>
    <xsd:element name="SharedWithUsers" ma:index="6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6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ad00f7-eb1f-49e9-a898-20fd00e2134b" elementFormDefault="qualified">
    <xsd:import namespace="http://schemas.microsoft.com/office/2006/documentManagement/types"/>
    <xsd:import namespace="http://schemas.microsoft.com/office/infopath/2007/PartnerControls"/>
    <xsd:element name="NeedsReprocessing" ma:index="26" nillable="true" ma:displayName="NeedsReprocessing" ma:default="0" ma:internalName="NeedsReprocessing" ma:readOnly="false">
      <xsd:simpleType>
        <xsd:restriction base="dms:Boolean"/>
      </xsd:simpleType>
    </xsd:element>
    <xsd:element name="i07f8e2dc724467c88034e42fb6bf3df" ma:index="54" nillable="true" ma:taxonomy="true" ma:internalName="i07f8e2dc724467c88034e42fb6bf3df" ma:taxonomyFieldName="Product_x0020_Line" ma:displayName="Product Line" ma:indexed="true" ma:readOnly="false" ma:default="" ma:fieldId="{207f8e2d-c724-467c-8803-4e42fb6bf3df}" ma:sspId="9f8ee6ba-22ae-4b18-a96b-b6990d3e2b67" ma:termSetId="cac45e59-285a-4c47-89ac-50a992ae684f" ma:anchorId="4e5ef880-62ff-485e-a237-259ea525603c" ma:open="false" ma:isKeyword="false">
      <xsd:complexType>
        <xsd:sequence>
          <xsd:element ref="pc:Terms" minOccurs="0" maxOccurs="1"/>
        </xsd:sequence>
      </xsd:complexType>
    </xsd:element>
    <xsd:element name="MediaServiceMetadata" ma:index="5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5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6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6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ast_x0020_Reviewed" ma:index="64" ma:displayName="Last Reviewed" ma:format="DateOnly" ma:indexed="true" ma:internalName="Last_x0020_Reviewed" ma:readOnly="false">
      <xsd:simpleType>
        <xsd:restriction base="dms:DateTime"/>
      </xsd:simpleType>
    </xsd:element>
    <xsd:element name="MediaServiceObjectDetectorVersions" ma:index="6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6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36092b-8ec2-40bd-b469-d1fe4f1e7785" elementFormDefault="qualified">
    <xsd:import namespace="http://schemas.microsoft.com/office/2006/documentManagement/types"/>
    <xsd:import namespace="http://schemas.microsoft.com/office/infopath/2007/PartnerControls"/>
    <xsd:element name="TaxCatchAll" ma:index="31" nillable="true" ma:displayName="Taxonomy Catch All Column" ma:hidden="true" ma:list="{1d5a3d42-05ae-4bb1-9d84-3ecfd3aa57cf}" ma:internalName="TaxCatchAll" ma:readOnly="false" ma:showField="CatchAllData" ma:web="c308d7af-8d34-4105-8a9f-128cf31d99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46" nillable="true" ma:displayName="Taxonomy Catch All Column1" ma:hidden="true" ma:list="{1d5a3d42-05ae-4bb1-9d84-3ecfd3aa57cf}" ma:internalName="TaxCatchAllLabel" ma:readOnly="false" ma:showField="CatchAllDataLabel" ma:web="c308d7af-8d34-4105-8a9f-128cf31d99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ddf08f74f1e4eb0b4a866c10db37afa" ma:index="51" nillable="true" ma:taxonomy="true" ma:internalName="fddf08f74f1e4eb0b4a866c10db37afa" ma:taxonomyFieldName="emm_Division" ma:displayName="emm_Division" ma:readOnly="false" ma:fieldId="{fddf08f7-4f1e-4eb0-b4a8-66c10db37afa}" ma:sspId="9f8ee6ba-22ae-4b18-a96b-b6990d3e2b67" ma:termSetId="5dde4a48-55d5-4c0a-9779-582059f53b1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ka0759a5942f41c695b775aef8208f3e" ma:index="52" nillable="true" ma:taxonomy="true" ma:internalName="ka0759a5942f41c695b775aef8208f3e" ma:taxonomyFieldName="emm_Function" ma:displayName="emm_Function" ma:readOnly="false" ma:fieldId="{4a0759a5-942f-41c6-95b7-75aef8208f3e}" ma:sspId="9f8ee6ba-22ae-4b18-a96b-b6990d3e2b67" ma:termSetId="2cdd7b0f-fc41-4bc0-b507-1083be529d1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e32960acc2343b2a783ebfbeb256c3d" ma:index="53" nillable="true" ma:taxonomy="true" ma:internalName="le32960acc2343b2a783ebfbeb256c3d" ma:taxonomyFieldName="emm_Language" ma:displayName="emm_Language" ma:readOnly="false" ma:fieldId="{5e32960a-cc23-43b2-a783-ebfbeb256c3d}" ma:sspId="9f8ee6ba-22ae-4b18-a96b-b6990d3e2b67" ma:termSetId="628d4a0e-43e1-471b-bfbd-4dccf339dc9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1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5CCB56-2E67-4969-8A2E-B1A7C771B7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818DB0-B2EF-42DD-AB69-F1B1D8552F32}">
  <ds:schemaRefs>
    <ds:schemaRef ds:uri="http://schemas.microsoft.com/office/2006/metadata/properties"/>
    <ds:schemaRef ds:uri="http://schemas.microsoft.com/office/infopath/2007/PartnerControls"/>
    <ds:schemaRef ds:uri="0c36092b-8ec2-40bd-b469-d1fe4f1e7785"/>
    <ds:schemaRef ds:uri="c308d7af-8d34-4105-8a9f-128cf31d995c"/>
    <ds:schemaRef ds:uri="d7ad00f7-eb1f-49e9-a898-20fd00e2134b"/>
  </ds:schemaRefs>
</ds:datastoreItem>
</file>

<file path=customXml/itemProps3.xml><?xml version="1.0" encoding="utf-8"?>
<ds:datastoreItem xmlns:ds="http://schemas.openxmlformats.org/officeDocument/2006/customXml" ds:itemID="{6AB4F30A-DA49-4D6F-AE03-EADAEBD99BE6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00918FFC-83C9-4796-B196-014D2DDCE0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8d7af-8d34-4105-8a9f-128cf31d995c"/>
    <ds:schemaRef ds:uri="d7ad00f7-eb1f-49e9-a898-20fd00e2134b"/>
    <ds:schemaRef ds:uri="0c36092b-8ec2-40bd-b469-d1fe4f1e77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Risk assesment</vt:lpstr>
      <vt:lpstr>FLM Outlook</vt:lpstr>
    </vt:vector>
  </TitlesOfParts>
  <Manager/>
  <Company>Delphi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Business Transfer Concept Checklist</dc:title>
  <dc:subject/>
  <dc:creator>Stefan Pahlke</dc:creator>
  <cp:keywords/>
  <dc:description/>
  <cp:lastModifiedBy>Labyad, Mehdi (Versigent)</cp:lastModifiedBy>
  <cp:revision/>
  <dcterms:created xsi:type="dcterms:W3CDTF">2009-09-10T08:52:16Z</dcterms:created>
  <dcterms:modified xsi:type="dcterms:W3CDTF">2026-05-09T12:59:34Z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wimlaneParticipant">
    <vt:lpwstr>115;#Business Unit|fe108483-2460-47bb-8b39-e248ce1a2b48;#34;#Finance|35e5b642-b681-4b74-a502-58545f1af060;#101;#Sales|1b63424f-4a3e-48e5-84ca-aace4cce5a5c</vt:lpwstr>
  </property>
  <property fmtid="{D5CDD505-2E9C-101B-9397-08002B2CF9AE}" pid="3" name="Region">
    <vt:lpwstr>2;#Global|69131ddd-08f9-4e82-a493-4c385ab63c3d</vt:lpwstr>
  </property>
  <property fmtid="{D5CDD505-2E9C-101B-9397-08002B2CF9AE}" pid="4" name="emm_SiteName">
    <vt:lpwstr/>
  </property>
  <property fmtid="{D5CDD505-2E9C-101B-9397-08002B2CF9AE}" pid="5" name="emm_Division">
    <vt:lpwstr>45;#Packard Electrical/Electronic|da46e7e5-ad49-473d-9234-e823ca83de29</vt:lpwstr>
  </property>
  <property fmtid="{D5CDD505-2E9C-101B-9397-08002B2CF9AE}" pid="6" name="PBU">
    <vt:lpwstr>108;#EDS|98e3e8fc-7860-4c9e-9fef-8587d7363aa4</vt:lpwstr>
  </property>
  <property fmtid="{D5CDD505-2E9C-101B-9397-08002B2CF9AE}" pid="7" name="EOSLanguage">
    <vt:lpwstr>3;#English|0f869863-28c5-4bad-88f4-5e957fc1fedc</vt:lpwstr>
  </property>
  <property fmtid="{D5CDD505-2E9C-101B-9397-08002B2CF9AE}" pid="8" name="ContentTypeId">
    <vt:lpwstr>0x010100D1D3186A8B59604F90124F3B9C63333C008C7C7C2BCEAECD42A4292251E1C1C1D5</vt:lpwstr>
  </property>
  <property fmtid="{D5CDD505-2E9C-101B-9397-08002B2CF9AE}" pid="9" name="RegionalIdentifier">
    <vt:lpwstr>2;#Global|69131ddd-08f9-4e82-a493-4c385ab63c3d</vt:lpwstr>
  </property>
  <property fmtid="{D5CDD505-2E9C-101B-9397-08002B2CF9AE}" pid="10" name="emm_Language">
    <vt:lpwstr/>
  </property>
  <property fmtid="{D5CDD505-2E9C-101B-9397-08002B2CF9AE}" pid="11" name="FlowPipe">
    <vt:lpwstr>35;#2-6 Communicate and Execute the Business Plans|85f77961-973b-4a06-b581-97a5ec5d740a</vt:lpwstr>
  </property>
  <property fmtid="{D5CDD505-2E9C-101B-9397-08002B2CF9AE}" pid="12" name="Division">
    <vt:lpwstr>5;#S＆PS|40978b63-ad8c-4cb8-9bea-75e613fea672</vt:lpwstr>
  </property>
  <property fmtid="{D5CDD505-2E9C-101B-9397-08002B2CF9AE}" pid="13" name="DocumentType">
    <vt:lpwstr>429;#Form|45cd7a66-ea26-4d71-8c03-f3501efc00cb</vt:lpwstr>
  </property>
  <property fmtid="{D5CDD505-2E9C-101B-9397-08002B2CF9AE}" pid="14" name="StakeholderBank">
    <vt:lpwstr/>
  </property>
  <property fmtid="{D5CDD505-2E9C-101B-9397-08002B2CF9AE}" pid="15" name="SwimlaneDO">
    <vt:lpwstr>115;#Business Unit|fe108483-2460-47bb-8b39-e248ce1a2b48</vt:lpwstr>
  </property>
  <property fmtid="{D5CDD505-2E9C-101B-9397-08002B2CF9AE}" pid="16" name="emm_Function">
    <vt:lpwstr>46;#Global Operations|af9a3bb6-63fb-4dd4-b1ba-e4f35fd1ac20</vt:lpwstr>
  </property>
  <property fmtid="{D5CDD505-2E9C-101B-9397-08002B2CF9AE}" pid="17" name="AppliesTo">
    <vt:lpwstr/>
  </property>
  <property fmtid="{D5CDD505-2E9C-101B-9397-08002B2CF9AE}" pid="18" name="URL">
    <vt:lpwstr/>
  </property>
  <property fmtid="{D5CDD505-2E9C-101B-9397-08002B2CF9AE}" pid="19" name="Order">
    <vt:r8>1240300</vt:r8>
  </property>
  <property fmtid="{D5CDD505-2E9C-101B-9397-08002B2CF9AE}" pid="20" name="Product_x0020_Line">
    <vt:lpwstr/>
  </property>
  <property fmtid="{D5CDD505-2E9C-101B-9397-08002B2CF9AE}" pid="21" name="Product Line">
    <vt:lpwstr/>
  </property>
  <property fmtid="{D5CDD505-2E9C-101B-9397-08002B2CF9AE}" pid="22" name="MSIP_Label_37edc1c9-378e-46d2-aabb-de5286b8cba1_Enabled">
    <vt:lpwstr>true</vt:lpwstr>
  </property>
  <property fmtid="{D5CDD505-2E9C-101B-9397-08002B2CF9AE}" pid="23" name="MSIP_Label_37edc1c9-378e-46d2-aabb-de5286b8cba1_SetDate">
    <vt:lpwstr>2026-05-09T12:59:16Z</vt:lpwstr>
  </property>
  <property fmtid="{D5CDD505-2E9C-101B-9397-08002B2CF9AE}" pid="24" name="MSIP_Label_37edc1c9-378e-46d2-aabb-de5286b8cba1_Method">
    <vt:lpwstr>Privileged</vt:lpwstr>
  </property>
  <property fmtid="{D5CDD505-2E9C-101B-9397-08002B2CF9AE}" pid="25" name="MSIP_Label_37edc1c9-378e-46d2-aabb-de5286b8cba1_Name">
    <vt:lpwstr>Public</vt:lpwstr>
  </property>
  <property fmtid="{D5CDD505-2E9C-101B-9397-08002B2CF9AE}" pid="26" name="MSIP_Label_37edc1c9-378e-46d2-aabb-de5286b8cba1_SiteId">
    <vt:lpwstr>6b1311e5-123f-49db-acdf-8847c2d00bed</vt:lpwstr>
  </property>
  <property fmtid="{D5CDD505-2E9C-101B-9397-08002B2CF9AE}" pid="27" name="MSIP_Label_37edc1c9-378e-46d2-aabb-de5286b8cba1_ActionId">
    <vt:lpwstr>c17cfc11-68c0-4bc4-9e06-cf475aaa0b79</vt:lpwstr>
  </property>
  <property fmtid="{D5CDD505-2E9C-101B-9397-08002B2CF9AE}" pid="28" name="MSIP_Label_37edc1c9-378e-46d2-aabb-de5286b8cba1_ContentBits">
    <vt:lpwstr>0</vt:lpwstr>
  </property>
  <property fmtid="{D5CDD505-2E9C-101B-9397-08002B2CF9AE}" pid="29" name="MSIP_Label_37edc1c9-378e-46d2-aabb-de5286b8cba1_Tag">
    <vt:lpwstr>10, 0, 1, 1</vt:lpwstr>
  </property>
</Properties>
</file>